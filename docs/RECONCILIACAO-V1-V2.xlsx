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Numeros TCC" sheetId="2" state="visible" r:id="rId4"/>
    <sheet name="Serie anual" sheetId="3" state="visible" r:id="rId5"/>
    <sheet name="Modelos" sheetId="4" state="visible" r:id="rId6"/>
    <sheet name="Erro por horizonte" sheetId="5" state="visible" r:id="rId7"/>
    <sheet name="Populacao" sheetId="6" state="visible" r:id="rId8"/>
    <sheet name="Deciso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<sst xmlns="http://schemas.openxmlformats.org/spreadsheetml/2006/main" count="311" uniqueCount="167">
  <si>
    <t xml:space="preserve">Reconciliação v1 × v2 — DialisaSUS</t>
  </si>
  <si>
    <t xml:space="preserve">Gerado em 15/09/2026 a partir de dados_tratados/, commit c17071e. Acompanha docs/RELATORIO-V1-V2.md.</t>
  </si>
  <si>
    <t xml:space="preserve">Como ler esta planilha</t>
  </si>
  <si>
    <t xml:space="preserve">Azul</t>
  </si>
  <si>
    <t xml:space="preserve">número que veio do dado ou do texto do TCC, digitado aqui como entrada</t>
  </si>
  <si>
    <t xml:space="preserve">Preto</t>
  </si>
  <si>
    <t xml:space="preserve">resultado de fórmula — recalcula sozinho se a entrada mudar</t>
  </si>
  <si>
    <t xml:space="preserve">Amarelo</t>
  </si>
  <si>
    <t xml:space="preserve">ponto que exige decisão da autora e do orientador</t>
  </si>
  <si>
    <t xml:space="preserve">Abas</t>
  </si>
  <si>
    <t xml:space="preserve">Numeros TCC</t>
  </si>
  <si>
    <t xml:space="preserve">cada número publicado, recalculado, com a diferença e a versão em reais de jun/2026</t>
  </si>
  <si>
    <t xml:space="preserve">Serie anual</t>
  </si>
  <si>
    <t xml:space="preserve">valor nominal e real por ano, com a quantidade — é a base do achado da inflação</t>
  </si>
  <si>
    <t xml:space="preserve">Modelos</t>
  </si>
  <si>
    <t xml:space="preserve">os 4 modelos do TCC mais 4 baselines, no mesmo protocolo de 43 janelas</t>
  </si>
  <si>
    <t xml:space="preserve">Erro por horizonte</t>
  </si>
  <si>
    <t xml:space="preserve">como o erro e o viés crescem do mês 1 ao 12, por modelo</t>
  </si>
  <si>
    <t xml:space="preserve">Populacao</t>
  </si>
  <si>
    <t xml:space="preserve">a quebra de base em 2022 e quanto do salto da taxa é artefato</t>
  </si>
  <si>
    <t xml:space="preserve">Decisoes</t>
  </si>
  <si>
    <t xml:space="preserve">os seis itens que precisam de sim ou não</t>
  </si>
  <si>
    <t xml:space="preserve">Regra que vale para tudo</t>
  </si>
  <si>
    <t xml:space="preserve">Nenhum número do trabalho muda na narrativa sem aprovação da autora e do orientador.</t>
  </si>
  <si>
    <t xml:space="preserve">Os números do TCC estão corretos. O que está em discussão é método, não aritmética.</t>
  </si>
  <si>
    <t xml:space="preserve">Cada número publicado, recalculado</t>
  </si>
  <si>
    <t xml:space="preserve">Coluna 'Recalculado' é fórmula sobre a aba Serie anual ou entrada medida. Diferença = Recalculado - TCC.</t>
  </si>
  <si>
    <t xml:space="preserve">Indicador</t>
  </si>
  <si>
    <t xml:space="preserve">No texto do TCC</t>
  </si>
  <si>
    <t xml:space="preserve">Recalculado</t>
  </si>
  <si>
    <t xml:space="preserve">Diferença</t>
  </si>
  <si>
    <t xml:space="preserve">Em reais de jun/2026</t>
  </si>
  <si>
    <t xml:space="preserve">Observação</t>
  </si>
  <si>
    <t xml:space="preserve">Valor total 2015 a 06/2026</t>
  </si>
  <si>
    <t xml:space="preserve">Arredondado para R$ 40,03 bi no texto.</t>
  </si>
  <si>
    <t xml:space="preserve">Quantidade total de procedimentos</t>
  </si>
  <si>
    <t xml:space="preserve">Procedimentos aprovados, não pacientes.</t>
  </si>
  <si>
    <t xml:space="preserve">Custo médio por procedimento</t>
  </si>
  <si>
    <t xml:space="preserve">Fórmula: valor ÷ quantidade. Média das médias mensais daria R$ 210,59 — método errado.</t>
  </si>
  <si>
    <t xml:space="preserve">Médias mensais por período</t>
  </si>
  <si>
    <t xml:space="preserve">Período</t>
  </si>
  <si>
    <t xml:space="preserve">Valor médio mensal (TCC)</t>
  </si>
  <si>
    <t xml:space="preserve">Valor médio real</t>
  </si>
  <si>
    <t xml:space="preserve">Custo médio nominal → real</t>
  </si>
  <si>
    <t xml:space="preserve">Pré-pandemia 2015–2019</t>
  </si>
  <si>
    <t xml:space="preserve">R$ 192,69 → R$ 305,77</t>
  </si>
  <si>
    <t xml:space="preserve">Pandemia 2020–2021</t>
  </si>
  <si>
    <t xml:space="preserve">R$ 196,61 → R$ 268,98</t>
  </si>
  <si>
    <t xml:space="preserve">Pós-pandemia 2022–2025</t>
  </si>
  <si>
    <t xml:space="preserve">R$ 235,62 → R$ 263,75</t>
  </si>
  <si>
    <t xml:space="preserve">Variações — a coluna em reais é onde a leitura muda</t>
  </si>
  <si>
    <t xml:space="preserve">Variação</t>
  </si>
  <si>
    <t xml:space="preserve">Recalculado (nominal)</t>
  </si>
  <si>
    <t xml:space="preserve">Pós × pré: valor médio mensal</t>
  </si>
  <si>
    <t xml:space="preserve">Nominal quase dobra a leitura; em reais o crescimento é modesto.</t>
  </si>
  <si>
    <t xml:space="preserve">Pós × pré: quantidade média mensal</t>
  </si>
  <si>
    <t xml:space="preserve">Quantidade não é monetária: não muda com o IPCA.</t>
  </si>
  <si>
    <t xml:space="preserve">Pós × pré: valor por procedimento</t>
  </si>
  <si>
    <t xml:space="preserve">MUDA DE SINAL: sobe 22% em nominal, cai 14% em reais.</t>
  </si>
  <si>
    <t xml:space="preserve">2025 × 2015 (ver aba Serie anual)</t>
  </si>
  <si>
    <t xml:space="preserve">2025 × 2015: valor anual</t>
  </si>
  <si>
    <t xml:space="preserve">O achado central: +88,61% nominal é +11,34% em reais.</t>
  </si>
  <si>
    <t xml:space="preserve">2025 × 2015: quantidade anual</t>
  </si>
  <si>
    <t xml:space="preserve">Idêntico: quantidade não deflaciona.</t>
  </si>
  <si>
    <t xml:space="preserve">Reconciliação territorial</t>
  </si>
  <si>
    <t xml:space="preserve">Verificação</t>
  </si>
  <si>
    <t xml:space="preserve">Nacional 2015–2025</t>
  </si>
  <si>
    <t xml:space="preserve">Soma dos 498 municípios</t>
  </si>
  <si>
    <t xml:space="preserve">Valor aprovado</t>
  </si>
  <si>
    <t xml:space="preserve">Quantidade aprovada</t>
  </si>
  <si>
    <t xml:space="preserve">Valor aprovado por ano, nominal e real</t>
  </si>
  <si>
    <t xml:space="preserve">Real = corrigido pelo IPCA para reais de junho de 2026. 2026 é parcial (jan–jun) e não entra em comparação anual.</t>
  </si>
  <si>
    <t xml:space="preserve">Ano</t>
  </si>
  <si>
    <t xml:space="preserve">Valor nominal</t>
  </si>
  <si>
    <t xml:space="preserve">Valor real (jun/2026)</t>
  </si>
  <si>
    <t xml:space="preserve">Quantidade</t>
  </si>
  <si>
    <t xml:space="preserve">Custo médio nominal</t>
  </si>
  <si>
    <t xml:space="preserve">Custo médio real</t>
  </si>
  <si>
    <t xml:space="preserve">Inflação embutida</t>
  </si>
  <si>
    <t xml:space="preserve">ANO PARCIAL: 6 meses</t>
  </si>
  <si>
    <t xml:space="preserve">Comparação de modelos no mesmo protocolo de 43 janelas</t>
  </si>
  <si>
    <t xml:space="preserve">Baselines acrescentados por esta auditoria. MASE compara com o sazonal ingênuo: acima de 1 = não supera a referência.</t>
  </si>
  <si>
    <t xml:space="preserve">Cenário</t>
  </si>
  <si>
    <t xml:space="preserve">Modelo</t>
  </si>
  <si>
    <t xml:space="preserve">Tipo</t>
  </si>
  <si>
    <t xml:space="preserve">MAPE médio</t>
  </si>
  <si>
    <t xml:space="preserve">MAPE mediano</t>
  </si>
  <si>
    <t xml:space="preserve">Desvio do MAPE</t>
  </si>
  <si>
    <t xml:space="preserve">MASE médio</t>
  </si>
  <si>
    <t xml:space="preserve">Viés</t>
  </si>
  <si>
    <t xml:space="preserve">Janelas</t>
  </si>
  <si>
    <t xml:space="preserve">A · nominal, como está na v1</t>
  </si>
  <si>
    <t xml:space="preserve">ets_holt_winters</t>
  </si>
  <si>
    <t xml:space="preserve">baseline</t>
  </si>
  <si>
    <t xml:space="preserve">drift_sazonal</t>
  </si>
  <si>
    <t xml:space="preserve">gradient_boosting</t>
  </si>
  <si>
    <t xml:space="preserve">aprendizagem</t>
  </si>
  <si>
    <t xml:space="preserve">random_forest</t>
  </si>
  <si>
    <t xml:space="preserve">sazonal_ingenuo</t>
  </si>
  <si>
    <t xml:space="preserve">regressao_linear</t>
  </si>
  <si>
    <t xml:space="preserve">media_movel_12m</t>
  </si>
  <si>
    <t xml:space="preserve">ridge</t>
  </si>
  <si>
    <t xml:space="preserve">B · nominal, sem os 2 provisórios</t>
  </si>
  <si>
    <t xml:space="preserve">C · deflacionado pelo IPCA</t>
  </si>
  <si>
    <t xml:space="preserve">D · deflacionado, sem provisórios</t>
  </si>
  <si>
    <t xml:space="preserve">Destacado: no cenário A, o Holt-Winters supera o Gradient Boosting em MAPE, MASE e viés.</t>
  </si>
  <si>
    <t xml:space="preserve">Como o erro e o viés crescem do mês 1 ao mês 12</t>
  </si>
  <si>
    <t xml:space="preserve">Cenário A (nominal). Viés que cresce monotonicamente é assinatura de modelo que não extrapola tendência.</t>
  </si>
  <si>
    <t xml:space="preserve">Erro absoluto médio (MAPE) por horizonte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</si>
  <si>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</si>
  <si>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</si>
  <si>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</si>
  <si>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</si>
  <si>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</si>
  <si>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</si>
  <si>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</si>
  <si>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</si>
  <si>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</si>
  <si>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</si>
  <si>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</si>
  <si>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</si>
  <si>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Viés médio por horizonte — negativo = prevê abaixo do observado</t>
  </si>
  <si>
    <t xml:space="preserve">A quebra de base populacional em 2022</t>
  </si>
  <si>
    <t xml:space="preserve">O Censo 2022 substitui a projeção do Censo 2010. O denominador cai 4,8% sem que nenhuma população tenha caído.</t>
  </si>
  <si>
    <t xml:space="preserve">População (soma municipal)</t>
  </si>
  <si>
    <t xml:space="preserve">Fonte</t>
  </si>
  <si>
    <t xml:space="preserve">Quantidade anual</t>
  </si>
  <si>
    <t xml:space="preserve">Taxa por 100 mil</t>
  </si>
  <si>
    <t xml:space="preserve">Variação da taxa</t>
  </si>
  <si>
    <t xml:space="preserve">IBGE — estimativa</t>
  </si>
  <si>
    <t xml:space="preserve">IBGE — Censo 2022</t>
  </si>
  <si>
    <t xml:space="preserve">Troca de base. Cerca de 5,9 p.p. do salto da taxa é artefato.</t>
  </si>
  <si>
    <t xml:space="preserve">Interpolação geométrica</t>
  </si>
  <si>
    <t xml:space="preserve">O IBGE não publicou estimativa municipal em 2023.</t>
  </si>
  <si>
    <t xml:space="preserve">Os seis itens que precisam de sim ou não</t>
  </si>
  <si>
    <t xml:space="preserve">Preencher a coluna Decisão. Nenhum número muda na narrativa antes disso.</t>
  </si>
  <si>
    <t xml:space="preserve">#</t>
  </si>
  <si>
    <t xml:space="preserve">Decisão</t>
  </si>
  <si>
    <t xml:space="preserve">Se for sim</t>
  </si>
  <si>
    <t xml:space="preserve">Se for não</t>
  </si>
  <si>
    <t xml:space="preserve">Custo</t>
  </si>
  <si>
    <t xml:space="preserve">Sugestão da equipe</t>
  </si>
  <si>
    <t xml:space="preserve">DECISÃO</t>
  </si>
  <si>
    <t xml:space="preserve">A narrativa apresenta valores reais ao lado dos nominais?</t>
  </si>
  <si>
    <t xml:space="preserve">O achado muda para: volume +24%, remuneração real −14%</t>
  </si>
  <si>
    <t xml:space="preserve">Mantém a leitura nominal, com ressalva de que inclui inflação</t>
  </si>
  <si>
    <t xml:space="preserve">Baixo</t>
  </si>
  <si>
    <t xml:space="preserve">Sim</t>
  </si>
  <si>
    <t xml:space="preserve">Os baselines entram na comparação de modelos?</t>
  </si>
  <si>
    <t xml:space="preserve">Ganha validação de verdade; o modelo passa a ser Holt-Winters</t>
  </si>
  <si>
    <t xml:space="preserve">Gradient Boosting sem referência que sustente a escolha</t>
  </si>
  <si>
    <t xml:space="preserve">A previsão exclui os meses provisórios da origem?</t>
  </si>
  <si>
    <t xml:space="preserve">Parte de abr/2026; total 12m cai de R$ 4,94 bi para R$ 4,79 bi</t>
  </si>
  <si>
    <t xml:space="preserve">A origem segue em jun/2026, subestimada em ~1%</t>
  </si>
  <si>
    <t xml:space="preserve">A quebra do denominador de 2022 é marcada?</t>
  </si>
  <si>
    <t xml:space="preserve">Nenhuma variação de taxa cruzando 2022 vira achado</t>
  </si>
  <si>
    <t xml:space="preserve">Risco de afirmar +7,85% quando o real é +1,95%</t>
  </si>
  <si>
    <t xml:space="preserve">O texto passa a dizer "hemodiálise e acessos"?</t>
  </si>
  <si>
    <t xml:space="preserve">O texto descreve o que os dados contêm</t>
  </si>
  <si>
    <t xml:space="preserve">É preciso re-extrair com DPAC e DPA — todos os números mudam</t>
  </si>
  <si>
    <t xml:space="preserve">Alto</t>
  </si>
  <si>
    <t xml:space="preserve">Corrigir texto</t>
  </si>
  <si>
    <t xml:space="preserve">O território segue por atendimento, com ressalva?</t>
  </si>
  <si>
    <t xml:space="preserve">Ressalva ao lado de toda taxa por habitante</t>
  </si>
  <si>
    <t xml:space="preserve">Re-extrair por residência — a base territorial inteira muda</t>
  </si>
  <si>
    <t xml:space="preserve">Manter</t>
  </si>
  <si>
    <t xml:space="preserve">Exemplo de preenchimento da coluna DECISÃO: Sim / Não / Adiar, com a data.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</si>
</sst>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;&quot;(R$ &quot;#,##0\);\-"/>
    <numFmt numFmtId="166" formatCode="#,##0;\(#,##0\);\-"/>
    <numFmt numFmtId="167" formatCode="&quot;R$ &quot;#,##0.00"/>
    <numFmt numFmtId="168" formatCode="0.00%;\(0.00%\);\-"/>
    <numFmt numFmtId="169" formatCode="0"/>
    <numFmt numFmtId="170" formatCode="0.000"/>
    <numFmt numFmtId="171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3B3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5D51"/>
        <bgColor rgb="FF0B3B34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D51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B3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3" t="s">
        <v>3</v>
      </c>
      <c r="B5" s="6" t="s">
        <v>4</v>
      </c>
    </row>
    <row r="6" customFormat="false" ht="15" hidden="false" customHeight="false" outlineLevel="0" collapsed="false">
      <c r="A6" s="3" t="s">
        <v>5</v>
      </c>
      <c r="B6" s="6" t="s">
        <v>6</v>
      </c>
    </row>
    <row r="7" customFormat="false" ht="15" hidden="false" customHeight="false" outlineLevel="0" collapsed="false">
      <c r="A7" s="3" t="s">
        <v>7</v>
      </c>
      <c r="B7" s="6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9</v>
      </c>
      <c r="B9" s="4"/>
    </row>
    <row r="10" customFormat="false" ht="15" hidden="false" customHeight="false" outlineLevel="0" collapsed="false">
      <c r="A10" s="3" t="s">
        <v>10</v>
      </c>
      <c r="B10" s="6" t="s">
        <v>11</v>
      </c>
    </row>
    <row r="11" customFormat="false" ht="15" hidden="false" customHeight="false" outlineLevel="0" collapsed="false">
      <c r="A11" s="3" t="s">
        <v>12</v>
      </c>
      <c r="B11" s="6" t="s">
        <v>13</v>
      </c>
    </row>
    <row r="12" customFormat="false" ht="15" hidden="false" customHeight="false" outlineLevel="0" collapsed="false">
      <c r="A12" s="3" t="s">
        <v>14</v>
      </c>
      <c r="B12" s="6" t="s">
        <v>15</v>
      </c>
    </row>
    <row r="13" customFormat="false" ht="15" hidden="false" customHeight="false" outlineLevel="0" collapsed="false">
      <c r="A13" s="3" t="s">
        <v>16</v>
      </c>
      <c r="B13" s="6" t="s">
        <v>17</v>
      </c>
    </row>
    <row r="14" customFormat="false" ht="15" hidden="false" customHeight="false" outlineLevel="0" collapsed="false">
      <c r="A14" s="3" t="s">
        <v>18</v>
      </c>
      <c r="B14" s="6" t="s">
        <v>19</v>
      </c>
    </row>
    <row r="15" customFormat="false" ht="15" hidden="false" customHeight="false" outlineLevel="0" collapsed="false">
      <c r="A15" s="3" t="s">
        <v>20</v>
      </c>
      <c r="B15" s="6" t="s">
        <v>21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5" t="s">
        <v>22</v>
      </c>
      <c r="B17" s="4"/>
    </row>
    <row r="18" customFormat="false" ht="15" hidden="false" customHeight="false" outlineLevel="0" collapsed="false">
      <c r="A18" s="3"/>
      <c r="B18" s="6" t="s">
        <v>23</v>
      </c>
    </row>
    <row r="19" customFormat="false" ht="15" hidden="false" customHeight="false" outlineLevel="0" collapsed="false">
      <c r="A19" s="3"/>
      <c r="B19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27.75" hidden="false" customHeight="true" outlineLevel="0" collapsed="false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</row>
    <row r="5" customFormat="false" ht="15" hidden="false" customHeight="false" outlineLevel="0" collapsed="false">
      <c r="A5" s="3" t="s">
        <v>33</v>
      </c>
      <c r="B5" s="8" t="n">
        <v>40030000000</v>
      </c>
      <c r="C5" s="8" t="n">
        <v>40028040752.85</v>
      </c>
      <c r="D5" s="9" t="n">
        <f aca="false">C5-B5</f>
        <v>-1959247.15000153</v>
      </c>
      <c r="E5" s="8" t="n">
        <v>52742336831.6713</v>
      </c>
      <c r="F5" s="6" t="s">
        <v>34</v>
      </c>
    </row>
    <row r="6" customFormat="false" ht="15" hidden="false" customHeight="false" outlineLevel="0" collapsed="false">
      <c r="A6" s="3" t="s">
        <v>35</v>
      </c>
      <c r="B6" s="10" t="n">
        <v>187950000</v>
      </c>
      <c r="C6" s="10" t="n">
        <v>187951964</v>
      </c>
      <c r="D6" s="11" t="n">
        <f aca="false">C6-B6</f>
        <v>1964</v>
      </c>
      <c r="F6" s="6" t="s">
        <v>36</v>
      </c>
    </row>
    <row r="7" customFormat="false" ht="24" hidden="false" customHeight="false" outlineLevel="0" collapsed="false">
      <c r="A7" s="3" t="s">
        <v>37</v>
      </c>
      <c r="B7" s="12" t="n">
        <v>212.97</v>
      </c>
      <c r="C7" s="13" t="n">
        <f aca="false">C5/C6</f>
        <v>212.96952636712</v>
      </c>
      <c r="D7" s="13" t="n">
        <f aca="false">C7-B7</f>
        <v>-0.000473632879959496</v>
      </c>
      <c r="E7" s="13" t="n">
        <f aca="false">E5/C6</f>
        <v>280.61604523415</v>
      </c>
      <c r="F7" s="6" t="s">
        <v>38</v>
      </c>
    </row>
    <row r="9" customFormat="false" ht="15" hidden="false" customHeight="false" outlineLevel="0" collapsed="false">
      <c r="A9" s="5" t="s">
        <v>39</v>
      </c>
    </row>
    <row r="10" customFormat="false" ht="27.75" hidden="false" customHeight="true" outlineLevel="0" collapsed="false">
      <c r="A10" s="7" t="s">
        <v>40</v>
      </c>
      <c r="B10" s="7" t="s">
        <v>41</v>
      </c>
      <c r="C10" s="7" t="s">
        <v>29</v>
      </c>
      <c r="D10" s="7" t="s">
        <v>30</v>
      </c>
      <c r="E10" s="7" t="s">
        <v>42</v>
      </c>
      <c r="F10" s="7" t="s">
        <v>43</v>
      </c>
    </row>
    <row r="11" customFormat="false" ht="15" hidden="false" customHeight="false" outlineLevel="0" collapsed="false">
      <c r="A11" s="3" t="s">
        <v>44</v>
      </c>
      <c r="B11" s="8" t="n">
        <v>234860000</v>
      </c>
      <c r="C11" s="8" t="n">
        <v>234863469.310333</v>
      </c>
      <c r="D11" s="9" t="n">
        <f aca="false">C11-B11</f>
        <v>3469.31033331156</v>
      </c>
      <c r="E11" s="8" t="n">
        <v>372692641.013238</v>
      </c>
      <c r="F11" s="3" t="s">
        <v>45</v>
      </c>
    </row>
    <row r="12" customFormat="false" ht="15" hidden="false" customHeight="false" outlineLevel="0" collapsed="false">
      <c r="A12" s="3" t="s">
        <v>46</v>
      </c>
      <c r="B12" s="8" t="n">
        <v>269230000</v>
      </c>
      <c r="C12" s="8" t="n">
        <v>269228428.500833</v>
      </c>
      <c r="D12" s="9" t="n">
        <f aca="false">C12-B12</f>
        <v>-1571.49916672707</v>
      </c>
      <c r="E12" s="8" t="n">
        <v>368321228.6288</v>
      </c>
      <c r="F12" s="3" t="s">
        <v>47</v>
      </c>
    </row>
    <row r="13" customFormat="false" ht="15" hidden="false" customHeight="false" outlineLevel="0" collapsed="false">
      <c r="A13" s="3" t="s">
        <v>48</v>
      </c>
      <c r="B13" s="8" t="n">
        <v>355270000</v>
      </c>
      <c r="C13" s="8" t="n">
        <v>355273895.930417</v>
      </c>
      <c r="D13" s="9" t="n">
        <f aca="false">C13-B13</f>
        <v>3895.93041658402</v>
      </c>
      <c r="E13" s="8" t="n">
        <v>397690770.277832</v>
      </c>
      <c r="F13" s="3" t="s">
        <v>49</v>
      </c>
    </row>
    <row r="15" customFormat="false" ht="15" hidden="false" customHeight="false" outlineLevel="0" collapsed="false">
      <c r="A15" s="5" t="s">
        <v>50</v>
      </c>
    </row>
    <row r="16" customFormat="false" ht="27.75" hidden="false" customHeight="true" outlineLevel="0" collapsed="false">
      <c r="A16" s="7" t="s">
        <v>51</v>
      </c>
      <c r="B16" s="7" t="s">
        <v>28</v>
      </c>
      <c r="C16" s="7" t="s">
        <v>52</v>
      </c>
      <c r="D16" s="7" t="s">
        <v>30</v>
      </c>
      <c r="E16" s="7" t="s">
        <v>31</v>
      </c>
      <c r="F16" s="7" t="s">
        <v>32</v>
      </c>
    </row>
    <row r="17" customFormat="false" ht="15" hidden="false" customHeight="false" outlineLevel="0" collapsed="false">
      <c r="A17" s="3" t="s">
        <v>53</v>
      </c>
      <c r="B17" s="14" t="n">
        <v>0.5127</v>
      </c>
      <c r="C17" s="15" t="n">
        <f aca="false">C13/C11-1</f>
        <v>0.512682653346063</v>
      </c>
      <c r="D17" s="15" t="n">
        <f aca="false">C17-B17</f>
        <v>-1.73466539371558E-005</v>
      </c>
      <c r="E17" s="15" t="n">
        <f aca="false">E13/E11-1</f>
        <v>0.0670743838585914</v>
      </c>
      <c r="F17" s="6" t="s">
        <v>54</v>
      </c>
    </row>
    <row r="18" customFormat="false" ht="15" hidden="false" customHeight="false" outlineLevel="0" collapsed="false">
      <c r="A18" s="3" t="s">
        <v>55</v>
      </c>
      <c r="B18" s="14" t="n">
        <v>0.2371</v>
      </c>
      <c r="C18" s="14" t="n">
        <v>0.237067927964997</v>
      </c>
      <c r="D18" s="15" t="n">
        <f aca="false">C18-B18</f>
        <v>-3.20720350028003E-005</v>
      </c>
      <c r="E18" s="14" t="n">
        <v>0.237067927964997</v>
      </c>
      <c r="F18" s="6" t="s">
        <v>56</v>
      </c>
    </row>
    <row r="19" customFormat="false" ht="15" hidden="false" customHeight="false" outlineLevel="0" collapsed="false">
      <c r="A19" s="16" t="s">
        <v>57</v>
      </c>
      <c r="B19" s="17" t="n">
        <v>0.2228</v>
      </c>
      <c r="C19" s="17" t="n">
        <v>0.22279675929717</v>
      </c>
      <c r="D19" s="18" t="n">
        <f aca="false">C19-B19</f>
        <v>-3.24070283039268E-006</v>
      </c>
      <c r="E19" s="17" t="n">
        <v>-0.137416499339732</v>
      </c>
      <c r="F19" s="19" t="s">
        <v>58</v>
      </c>
    </row>
    <row r="21" customFormat="false" ht="15" hidden="false" customHeight="false" outlineLevel="0" collapsed="false">
      <c r="A21" s="5" t="s">
        <v>59</v>
      </c>
    </row>
    <row r="22" customFormat="false" ht="27.75" hidden="false" customHeight="true" outlineLevel="0" collapsed="false">
      <c r="A22" s="7" t="s">
        <v>51</v>
      </c>
      <c r="B22" s="7" t="s">
        <v>28</v>
      </c>
      <c r="C22" s="7" t="s">
        <v>52</v>
      </c>
      <c r="D22" s="7" t="s">
        <v>30</v>
      </c>
      <c r="E22" s="7" t="s">
        <v>31</v>
      </c>
      <c r="F22" s="7" t="s">
        <v>32</v>
      </c>
    </row>
    <row r="23" customFormat="false" ht="15" hidden="false" customHeight="false" outlineLevel="0" collapsed="false">
      <c r="A23" s="16" t="s">
        <v>60</v>
      </c>
      <c r="B23" s="17" t="n">
        <v>0.8861</v>
      </c>
      <c r="C23" s="18" t="n">
        <f aca="false">'Serie anual'!B15/'Serie anual'!B5-1</f>
        <v>0.886061783571007</v>
      </c>
      <c r="D23" s="18" t="n">
        <f aca="false">C23-B23</f>
        <v>-3.82164289932652E-005</v>
      </c>
      <c r="E23" s="18" t="n">
        <f aca="false">'Serie anual'!C15/'Serie anual'!C5-1</f>
        <v>0.113403523210661</v>
      </c>
      <c r="F23" s="19" t="s">
        <v>61</v>
      </c>
    </row>
    <row r="24" customFormat="false" ht="15" hidden="false" customHeight="false" outlineLevel="0" collapsed="false">
      <c r="A24" s="3" t="s">
        <v>62</v>
      </c>
      <c r="B24" s="14" t="n">
        <v>0.4046</v>
      </c>
      <c r="C24" s="15" t="n">
        <f aca="false">'Serie anual'!D15/'Serie anual'!D5-1</f>
        <v>0.404580018531875</v>
      </c>
      <c r="D24" s="15" t="n">
        <f aca="false">C24-B24</f>
        <v>-1.99814681247079E-005</v>
      </c>
      <c r="E24" s="15" t="n">
        <f aca="false">'Serie anual'!D15/'Serie anual'!D5-1</f>
        <v>0.404580018531875</v>
      </c>
      <c r="F24" s="6" t="s">
        <v>63</v>
      </c>
    </row>
    <row r="27" customFormat="false" ht="15" hidden="false" customHeight="false" outlineLevel="0" collapsed="false">
      <c r="A27" s="5" t="s">
        <v>64</v>
      </c>
    </row>
    <row r="28" customFormat="false" ht="27.75" hidden="false" customHeight="true" outlineLevel="0" collapsed="false">
      <c r="A28" s="7" t="s">
        <v>65</v>
      </c>
      <c r="B28" s="7" t="s">
        <v>66</v>
      </c>
      <c r="C28" s="7" t="s">
        <v>67</v>
      </c>
      <c r="D28" s="7" t="s">
        <v>30</v>
      </c>
      <c r="E28" s="7"/>
      <c r="F28" s="7"/>
    </row>
    <row r="29" customFormat="false" ht="15" hidden="false" customHeight="false" outlineLevel="0" collapsed="false">
      <c r="A29" s="3" t="s">
        <v>68</v>
      </c>
      <c r="B29" s="8" t="n">
        <v>37606437447.3</v>
      </c>
      <c r="C29" s="8" t="n">
        <v>37606437447.3</v>
      </c>
      <c r="D29" s="9" t="n">
        <f aca="false">C29-B29</f>
        <v>0</v>
      </c>
    </row>
    <row r="30" customFormat="false" ht="15" hidden="false" customHeight="false" outlineLevel="0" collapsed="false">
      <c r="A30" s="3" t="s">
        <v>69</v>
      </c>
      <c r="B30" s="10" t="n">
        <v>178373113</v>
      </c>
      <c r="C30" s="10" t="n">
        <v>178373113</v>
      </c>
      <c r="D30" s="11" t="n">
        <f aca="false">C30-B30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27.75" hidden="false" customHeight="true" outlineLevel="0" collapsed="false">
      <c r="A4" s="7" t="s">
        <v>72</v>
      </c>
      <c r="B4" s="7" t="s">
        <v>73</v>
      </c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32</v>
      </c>
    </row>
    <row r="5" customFormat="false" ht="15" hidden="false" customHeight="false" outlineLevel="0" collapsed="false">
      <c r="A5" s="20" t="n">
        <v>2015</v>
      </c>
      <c r="B5" s="8" t="n">
        <v>2503308293.12</v>
      </c>
      <c r="C5" s="8" t="n">
        <v>4444319717.54385</v>
      </c>
      <c r="D5" s="10" t="n">
        <v>13714748</v>
      </c>
      <c r="E5" s="13" t="n">
        <f aca="false">B5/D5</f>
        <v>182.526743701014</v>
      </c>
      <c r="F5" s="13" t="n">
        <f aca="false">C5/D5</f>
        <v>324.054056082099</v>
      </c>
      <c r="G5" s="15" t="n">
        <f aca="false">C5/B5-1</f>
        <v>0.775378498029369</v>
      </c>
    </row>
    <row r="6" customFormat="false" ht="15" hidden="false" customHeight="false" outlineLevel="0" collapsed="false">
      <c r="A6" s="20" t="n">
        <v>2016</v>
      </c>
      <c r="B6" s="8" t="n">
        <v>2593185777.83</v>
      </c>
      <c r="C6" s="8" t="n">
        <v>4234211779.2833</v>
      </c>
      <c r="D6" s="10" t="n">
        <v>14072631</v>
      </c>
      <c r="E6" s="13" t="n">
        <f aca="false">B6/D6</f>
        <v>184.271567827651</v>
      </c>
      <c r="F6" s="13" t="n">
        <f aca="false">C6/D6</f>
        <v>300.882740354899</v>
      </c>
      <c r="G6" s="15" t="n">
        <f aca="false">C6/B6-1</f>
        <v>0.632822382215333</v>
      </c>
    </row>
    <row r="7" customFormat="false" ht="15" hidden="false" customHeight="false" outlineLevel="0" collapsed="false">
      <c r="A7" s="20" t="n">
        <v>2017</v>
      </c>
      <c r="B7" s="8" t="n">
        <v>2869625575.81</v>
      </c>
      <c r="C7" s="8" t="n">
        <v>4528875360.01192</v>
      </c>
      <c r="D7" s="10" t="n">
        <v>14460319</v>
      </c>
      <c r="E7" s="13" t="n">
        <f aca="false">B7/D7</f>
        <v>198.448289820577</v>
      </c>
      <c r="F7" s="13" t="n">
        <f aca="false">C7/D7</f>
        <v>313.193323052688</v>
      </c>
      <c r="G7" s="15" t="n">
        <f aca="false">C7/B7-1</f>
        <v>0.578211247553983</v>
      </c>
    </row>
    <row r="8" customFormat="false" ht="15" hidden="false" customHeight="false" outlineLevel="0" collapsed="false">
      <c r="A8" s="20" t="n">
        <v>2018</v>
      </c>
      <c r="B8" s="8" t="n">
        <v>2996360541</v>
      </c>
      <c r="C8" s="8" t="n">
        <v>4561664461.75735</v>
      </c>
      <c r="D8" s="10" t="n">
        <v>15086342</v>
      </c>
      <c r="E8" s="13" t="n">
        <f aca="false">B8/D8</f>
        <v>198.614120043149</v>
      </c>
      <c r="F8" s="13" t="n">
        <f aca="false">C8/D8</f>
        <v>302.370479322115</v>
      </c>
      <c r="G8" s="15" t="n">
        <f aca="false">C8/B8-1</f>
        <v>0.522401726807866</v>
      </c>
    </row>
    <row r="9" customFormat="false" ht="15" hidden="false" customHeight="false" outlineLevel="0" collapsed="false">
      <c r="A9" s="20" t="n">
        <v>2019</v>
      </c>
      <c r="B9" s="8" t="n">
        <v>3129327970.86</v>
      </c>
      <c r="C9" s="8" t="n">
        <v>4592487142.19784</v>
      </c>
      <c r="D9" s="10" t="n">
        <v>15798962</v>
      </c>
      <c r="E9" s="13" t="n">
        <f aca="false">B9/D9</f>
        <v>198.07174489438</v>
      </c>
      <c r="F9" s="13" t="n">
        <f aca="false">C9/D9</f>
        <v>290.682839935803</v>
      </c>
      <c r="G9" s="15" t="n">
        <f aca="false">C9/B9-1</f>
        <v>0.467563382605669</v>
      </c>
    </row>
    <row r="10" customFormat="false" ht="15" hidden="false" customHeight="false" outlineLevel="0" collapsed="false">
      <c r="A10" s="20" t="n">
        <v>2020</v>
      </c>
      <c r="B10" s="8" t="n">
        <v>3234830410.92</v>
      </c>
      <c r="C10" s="8" t="n">
        <v>4600761750.06305</v>
      </c>
      <c r="D10" s="10" t="n">
        <v>16436309</v>
      </c>
      <c r="E10" s="13" t="n">
        <f aca="false">B10/D10</f>
        <v>196.810026564967</v>
      </c>
      <c r="F10" s="13" t="n">
        <f aca="false">C10/D10</f>
        <v>279.914532518405</v>
      </c>
      <c r="G10" s="15" t="n">
        <f aca="false">C10/B10-1</f>
        <v>0.422257480494805</v>
      </c>
    </row>
    <row r="11" customFormat="false" ht="15" hidden="false" customHeight="false" outlineLevel="0" collapsed="false">
      <c r="A11" s="20" t="n">
        <v>2021</v>
      </c>
      <c r="B11" s="8" t="n">
        <v>3226651873.1</v>
      </c>
      <c r="C11" s="8" t="n">
        <v>4238947737.02814</v>
      </c>
      <c r="D11" s="10" t="n">
        <v>16427409</v>
      </c>
      <c r="E11" s="13" t="n">
        <f aca="false">B11/D11</f>
        <v>196.418794534184</v>
      </c>
      <c r="F11" s="13" t="n">
        <f aca="false">C11/D11</f>
        <v>258.041163827366</v>
      </c>
      <c r="G11" s="15" t="n">
        <f aca="false">C11/B11-1</f>
        <v>0.313729495384198</v>
      </c>
    </row>
    <row r="12" customFormat="false" ht="15" hidden="false" customHeight="false" outlineLevel="0" collapsed="false">
      <c r="A12" s="20" t="n">
        <v>2022</v>
      </c>
      <c r="B12" s="8" t="n">
        <v>3708411468.85</v>
      </c>
      <c r="C12" s="8" t="n">
        <v>4455470216.81958</v>
      </c>
      <c r="D12" s="10" t="n">
        <v>16866120</v>
      </c>
      <c r="E12" s="13" t="n">
        <f aca="false">B12/D12</f>
        <v>219.873418951721</v>
      </c>
      <c r="F12" s="13" t="n">
        <f aca="false">C12/D12</f>
        <v>264.166875180515</v>
      </c>
      <c r="G12" s="15" t="n">
        <f aca="false">C12/B12-1</f>
        <v>0.201449799798308</v>
      </c>
    </row>
    <row r="13" customFormat="false" ht="15" hidden="false" customHeight="false" outlineLevel="0" collapsed="false">
      <c r="A13" s="20" t="n">
        <v>2023</v>
      </c>
      <c r="B13" s="8" t="n">
        <v>4080317284.95</v>
      </c>
      <c r="C13" s="8" t="n">
        <v>4685086175.8</v>
      </c>
      <c r="D13" s="10" t="n">
        <v>17662215</v>
      </c>
      <c r="E13" s="13" t="n">
        <f aca="false">B13/D13</f>
        <v>231.019568324245</v>
      </c>
      <c r="F13" s="13" t="n">
        <f aca="false">C13/D13</f>
        <v>265.260397736071</v>
      </c>
      <c r="G13" s="15" t="n">
        <f aca="false">C13/B13-1</f>
        <v>0.148216143161378</v>
      </c>
    </row>
    <row r="14" customFormat="false" ht="15" hidden="false" customHeight="false" outlineLevel="0" collapsed="false">
      <c r="A14" s="20" t="n">
        <v>2024</v>
      </c>
      <c r="B14" s="8" t="n">
        <v>4543024146.71</v>
      </c>
      <c r="C14" s="8" t="n">
        <v>5000279348.92841</v>
      </c>
      <c r="D14" s="10" t="n">
        <v>18584597</v>
      </c>
      <c r="E14" s="13" t="n">
        <f aca="false">B14/D14</f>
        <v>244.451044416513</v>
      </c>
      <c r="F14" s="13" t="n">
        <f aca="false">C14/D14</f>
        <v>269.05503245125</v>
      </c>
      <c r="G14" s="15" t="n">
        <f aca="false">C14/B14-1</f>
        <v>0.100649960786483</v>
      </c>
    </row>
    <row r="15" customFormat="false" ht="15" hidden="false" customHeight="false" outlineLevel="0" collapsed="false">
      <c r="A15" s="20" t="n">
        <v>2025</v>
      </c>
      <c r="B15" s="8" t="n">
        <v>4721394104.15</v>
      </c>
      <c r="C15" s="8" t="n">
        <v>4948321231.78793</v>
      </c>
      <c r="D15" s="10" t="n">
        <v>19263461</v>
      </c>
      <c r="E15" s="13" t="n">
        <f aca="false">B15/D15</f>
        <v>245.09583735498</v>
      </c>
      <c r="F15" s="13" t="n">
        <f aca="false">C15/D15</f>
        <v>256.876022008087</v>
      </c>
      <c r="G15" s="15" t="n">
        <f aca="false">C15/B15-1</f>
        <v>0.0480635851683022</v>
      </c>
    </row>
    <row r="16" customFormat="false" ht="15" hidden="false" customHeight="false" outlineLevel="0" collapsed="false">
      <c r="A16" s="21" t="n">
        <v>2026</v>
      </c>
      <c r="B16" s="22" t="n">
        <v>2421603305.55</v>
      </c>
      <c r="C16" s="22" t="n">
        <v>2451911910.44989</v>
      </c>
      <c r="D16" s="23" t="n">
        <v>9578851</v>
      </c>
      <c r="E16" s="24" t="n">
        <f aca="false">B16/D16</f>
        <v>252.807284041687</v>
      </c>
      <c r="F16" s="24" t="n">
        <f aca="false">C16/D16</f>
        <v>255.971401001007</v>
      </c>
      <c r="G16" s="18" t="n">
        <f aca="false">C16/B16-1</f>
        <v>0.0125159248132964</v>
      </c>
      <c r="H16" s="2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27.75" hidden="false" customHeight="true" outlineLevel="0" collapsed="false">
      <c r="A4" s="7" t="s">
        <v>82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88</v>
      </c>
      <c r="H4" s="7" t="s">
        <v>89</v>
      </c>
      <c r="I4" s="7" t="s">
        <v>90</v>
      </c>
    </row>
    <row r="5" customFormat="false" ht="15" hidden="false" customHeight="false" outlineLevel="0" collapsed="false">
      <c r="A5" s="26" t="s">
        <v>91</v>
      </c>
      <c r="B5" s="26" t="s">
        <v>92</v>
      </c>
      <c r="C5" s="26" t="s">
        <v>93</v>
      </c>
      <c r="D5" s="27" t="n">
        <v>0.0444091501606353</v>
      </c>
      <c r="E5" s="27" t="n">
        <v>0.0351274939399835</v>
      </c>
      <c r="F5" s="27" t="n">
        <v>0.0276361267689223</v>
      </c>
      <c r="G5" s="28" t="n">
        <v>1.01763366170616</v>
      </c>
      <c r="H5" s="27" t="n">
        <v>-0.00890332212502957</v>
      </c>
      <c r="I5" s="29" t="n">
        <v>43</v>
      </c>
    </row>
    <row r="6" customFormat="false" ht="15" hidden="false" customHeight="false" outlineLevel="0" collapsed="false">
      <c r="A6" s="3" t="s">
        <v>91</v>
      </c>
      <c r="B6" s="3" t="s">
        <v>94</v>
      </c>
      <c r="C6" s="3" t="s">
        <v>93</v>
      </c>
      <c r="D6" s="14" t="n">
        <v>0.0498571761072751</v>
      </c>
      <c r="E6" s="14" t="n">
        <v>0.0464749869164131</v>
      </c>
      <c r="F6" s="14" t="n">
        <v>0.0160820224548031</v>
      </c>
      <c r="G6" s="30" t="n">
        <v>1.11819035420302</v>
      </c>
      <c r="H6" s="14" t="n">
        <v>-0.00366771056158977</v>
      </c>
      <c r="I6" s="31" t="n">
        <v>43</v>
      </c>
    </row>
    <row r="7" customFormat="false" ht="15" hidden="false" customHeight="false" outlineLevel="0" collapsed="false">
      <c r="A7" s="26" t="s">
        <v>91</v>
      </c>
      <c r="B7" s="26" t="s">
        <v>95</v>
      </c>
      <c r="C7" s="26" t="s">
        <v>96</v>
      </c>
      <c r="D7" s="27" t="n">
        <v>0.0535182610899629</v>
      </c>
      <c r="E7" s="27" t="n">
        <v>0.0442470654129894</v>
      </c>
      <c r="F7" s="27" t="n">
        <v>0.0282204204850196</v>
      </c>
      <c r="G7" s="28" t="n">
        <v>1.2343578196507</v>
      </c>
      <c r="H7" s="27" t="n">
        <v>-0.0498080233768006</v>
      </c>
      <c r="I7" s="29" t="n">
        <v>43</v>
      </c>
    </row>
    <row r="8" customFormat="false" ht="15" hidden="false" customHeight="false" outlineLevel="0" collapsed="false">
      <c r="A8" s="3" t="s">
        <v>91</v>
      </c>
      <c r="B8" s="3" t="s">
        <v>97</v>
      </c>
      <c r="C8" s="3" t="s">
        <v>96</v>
      </c>
      <c r="D8" s="14" t="n">
        <v>0.067386736192267</v>
      </c>
      <c r="E8" s="14" t="n">
        <v>0.0537488337086275</v>
      </c>
      <c r="F8" s="14" t="n">
        <v>0.0294995722618961</v>
      </c>
      <c r="G8" s="30" t="n">
        <v>1.55922552961203</v>
      </c>
      <c r="H8" s="14" t="n">
        <v>-0.063195897801343</v>
      </c>
      <c r="I8" s="31" t="n">
        <v>43</v>
      </c>
    </row>
    <row r="9" customFormat="false" ht="15" hidden="false" customHeight="false" outlineLevel="0" collapsed="false">
      <c r="A9" s="3" t="s">
        <v>91</v>
      </c>
      <c r="B9" s="3" t="s">
        <v>98</v>
      </c>
      <c r="C9" s="3" t="s">
        <v>93</v>
      </c>
      <c r="D9" s="14" t="n">
        <v>0.0844951871495946</v>
      </c>
      <c r="E9" s="14" t="n">
        <v>0.0883295088796153</v>
      </c>
      <c r="F9" s="14" t="n">
        <v>0.0345447814046384</v>
      </c>
      <c r="G9" s="30" t="n">
        <v>1.94015662503769</v>
      </c>
      <c r="H9" s="14" t="n">
        <v>-0.0849737346829537</v>
      </c>
      <c r="I9" s="31" t="n">
        <v>43</v>
      </c>
    </row>
    <row r="10" customFormat="false" ht="15" hidden="false" customHeight="false" outlineLevel="0" collapsed="false">
      <c r="A10" s="3" t="s">
        <v>91</v>
      </c>
      <c r="B10" s="3" t="s">
        <v>99</v>
      </c>
      <c r="C10" s="3" t="s">
        <v>96</v>
      </c>
      <c r="D10" s="14" t="n">
        <v>0.0845556766820753</v>
      </c>
      <c r="E10" s="14" t="n">
        <v>0.0763785854227825</v>
      </c>
      <c r="F10" s="14" t="n">
        <v>0.0244203634887684</v>
      </c>
      <c r="G10" s="30" t="n">
        <v>1.89990991032318</v>
      </c>
      <c r="H10" s="14" t="n">
        <v>-0.084366031671863</v>
      </c>
      <c r="I10" s="31" t="n">
        <v>43</v>
      </c>
    </row>
    <row r="11" customFormat="false" ht="15" hidden="false" customHeight="false" outlineLevel="0" collapsed="false">
      <c r="A11" s="3" t="s">
        <v>91</v>
      </c>
      <c r="B11" s="3" t="s">
        <v>100</v>
      </c>
      <c r="C11" s="3" t="s">
        <v>93</v>
      </c>
      <c r="D11" s="14" t="n">
        <v>0.0866443662256381</v>
      </c>
      <c r="E11" s="14" t="n">
        <v>0.0920862962420019</v>
      </c>
      <c r="F11" s="14" t="n">
        <v>0.0316505447306237</v>
      </c>
      <c r="G11" s="30" t="n">
        <v>2.00032073044835</v>
      </c>
      <c r="H11" s="14" t="n">
        <v>-0.0849737346829537</v>
      </c>
      <c r="I11" s="31" t="n">
        <v>43</v>
      </c>
    </row>
    <row r="12" customFormat="false" ht="15" hidden="false" customHeight="false" outlineLevel="0" collapsed="false">
      <c r="A12" s="3" t="s">
        <v>91</v>
      </c>
      <c r="B12" s="3" t="s">
        <v>101</v>
      </c>
      <c r="C12" s="3" t="s">
        <v>96</v>
      </c>
      <c r="D12" s="14" t="n">
        <v>0.10007807691104</v>
      </c>
      <c r="E12" s="14" t="n">
        <v>0.0940949269691613</v>
      </c>
      <c r="F12" s="14" t="n">
        <v>0.024830535147164</v>
      </c>
      <c r="G12" s="30" t="n">
        <v>2.24304874253016</v>
      </c>
      <c r="H12" s="14" t="n">
        <v>-0.101078584749359</v>
      </c>
      <c r="I12" s="31" t="n">
        <v>43</v>
      </c>
    </row>
    <row r="14" customFormat="false" ht="15" hidden="false" customHeight="false" outlineLevel="0" collapsed="false">
      <c r="A14" s="3" t="s">
        <v>102</v>
      </c>
      <c r="B14" s="3" t="s">
        <v>92</v>
      </c>
      <c r="C14" s="3" t="s">
        <v>93</v>
      </c>
      <c r="D14" s="14" t="n">
        <v>0.0453292866813796</v>
      </c>
      <c r="E14" s="14" t="n">
        <v>0.0374857525113266</v>
      </c>
      <c r="F14" s="14" t="n">
        <v>0.0279746090551442</v>
      </c>
      <c r="G14" s="30" t="n">
        <v>1.04219160331329</v>
      </c>
      <c r="H14" s="14" t="n">
        <v>-0.00979252998316404</v>
      </c>
      <c r="I14" s="31" t="n">
        <v>41</v>
      </c>
    </row>
    <row r="15" customFormat="false" ht="15" hidden="false" customHeight="false" outlineLevel="0" collapsed="false">
      <c r="A15" s="3" t="s">
        <v>102</v>
      </c>
      <c r="B15" s="3" t="s">
        <v>94</v>
      </c>
      <c r="C15" s="3" t="s">
        <v>93</v>
      </c>
      <c r="D15" s="14" t="n">
        <v>0.0503001652788198</v>
      </c>
      <c r="E15" s="14" t="n">
        <v>0.0464749869164131</v>
      </c>
      <c r="F15" s="14" t="n">
        <v>0.0161904227780638</v>
      </c>
      <c r="G15" s="30" t="n">
        <v>1.13248687840262</v>
      </c>
      <c r="H15" s="14" t="n">
        <v>-0.00574362944697261</v>
      </c>
      <c r="I15" s="31" t="n">
        <v>41</v>
      </c>
    </row>
    <row r="16" customFormat="false" ht="15" hidden="false" customHeight="false" outlineLevel="0" collapsed="false">
      <c r="A16" s="3" t="s">
        <v>102</v>
      </c>
      <c r="B16" s="3" t="s">
        <v>95</v>
      </c>
      <c r="C16" s="3" t="s">
        <v>96</v>
      </c>
      <c r="D16" s="14" t="n">
        <v>0.0543792767093116</v>
      </c>
      <c r="E16" s="14" t="n">
        <v>0.0449175845480175</v>
      </c>
      <c r="F16" s="14" t="n">
        <v>0.0286204507159369</v>
      </c>
      <c r="G16" s="30" t="n">
        <v>1.25826646491835</v>
      </c>
      <c r="H16" s="14" t="n">
        <v>-0.0511655414327208</v>
      </c>
      <c r="I16" s="31" t="n">
        <v>41</v>
      </c>
    </row>
    <row r="17" customFormat="false" ht="15" hidden="false" customHeight="false" outlineLevel="0" collapsed="false">
      <c r="A17" s="3" t="s">
        <v>102</v>
      </c>
      <c r="B17" s="3" t="s">
        <v>97</v>
      </c>
      <c r="C17" s="3" t="s">
        <v>96</v>
      </c>
      <c r="D17" s="14" t="n">
        <v>0.0684994567037073</v>
      </c>
      <c r="E17" s="14" t="n">
        <v>0.0537775588381631</v>
      </c>
      <c r="F17" s="14" t="n">
        <v>0.0297697728624968</v>
      </c>
      <c r="G17" s="30" t="n">
        <v>1.58991784809665</v>
      </c>
      <c r="H17" s="14" t="n">
        <v>-0.0646114046424625</v>
      </c>
      <c r="I17" s="31" t="n">
        <v>41</v>
      </c>
    </row>
    <row r="18" customFormat="false" ht="15" hidden="false" customHeight="false" outlineLevel="0" collapsed="false">
      <c r="A18" s="3" t="s">
        <v>102</v>
      </c>
      <c r="B18" s="3" t="s">
        <v>99</v>
      </c>
      <c r="C18" s="3" t="s">
        <v>96</v>
      </c>
      <c r="D18" s="14" t="n">
        <v>0.0859317846532189</v>
      </c>
      <c r="E18" s="14" t="n">
        <v>0.0818010994263377</v>
      </c>
      <c r="F18" s="14" t="n">
        <v>0.0241736095481061</v>
      </c>
      <c r="G18" s="30" t="n">
        <v>1.93518512866909</v>
      </c>
      <c r="H18" s="14" t="n">
        <v>-0.0859312262368947</v>
      </c>
      <c r="I18" s="31" t="n">
        <v>41</v>
      </c>
    </row>
    <row r="19" customFormat="false" ht="15" hidden="false" customHeight="false" outlineLevel="0" collapsed="false">
      <c r="A19" s="3" t="s">
        <v>102</v>
      </c>
      <c r="B19" s="3" t="s">
        <v>98</v>
      </c>
      <c r="C19" s="3" t="s">
        <v>93</v>
      </c>
      <c r="D19" s="14" t="n">
        <v>0.0866957252833707</v>
      </c>
      <c r="E19" s="14" t="n">
        <v>0.0930531522329706</v>
      </c>
      <c r="F19" s="14" t="n">
        <v>0.0338553571090022</v>
      </c>
      <c r="G19" s="30" t="n">
        <v>1.994861430255</v>
      </c>
      <c r="H19" s="14" t="n">
        <v>-0.0871974117744961</v>
      </c>
      <c r="I19" s="31" t="n">
        <v>41</v>
      </c>
    </row>
    <row r="20" customFormat="false" ht="15" hidden="false" customHeight="false" outlineLevel="0" collapsed="false">
      <c r="A20" s="3" t="s">
        <v>102</v>
      </c>
      <c r="B20" s="3" t="s">
        <v>100</v>
      </c>
      <c r="C20" s="3" t="s">
        <v>93</v>
      </c>
      <c r="D20" s="14" t="n">
        <v>0.0885286136213269</v>
      </c>
      <c r="E20" s="14" t="n">
        <v>0.0924838466776962</v>
      </c>
      <c r="F20" s="14" t="n">
        <v>0.0312023264901863</v>
      </c>
      <c r="G20" s="30" t="n">
        <v>2.04896388381982</v>
      </c>
      <c r="H20" s="14" t="n">
        <v>-0.0871974117744961</v>
      </c>
      <c r="I20" s="31" t="n">
        <v>41</v>
      </c>
    </row>
    <row r="21" customFormat="false" ht="15" hidden="false" customHeight="false" outlineLevel="0" collapsed="false">
      <c r="A21" s="3" t="s">
        <v>102</v>
      </c>
      <c r="B21" s="3" t="s">
        <v>101</v>
      </c>
      <c r="C21" s="3" t="s">
        <v>96</v>
      </c>
      <c r="D21" s="14" t="n">
        <v>0.101470635527859</v>
      </c>
      <c r="E21" s="14" t="n">
        <v>0.0968625884104131</v>
      </c>
      <c r="F21" s="14" t="n">
        <v>0.0245881357437857</v>
      </c>
      <c r="G21" s="30" t="n">
        <v>2.27958656425433</v>
      </c>
      <c r="H21" s="14" t="n">
        <v>-0.102550887004715</v>
      </c>
      <c r="I21" s="31" t="n">
        <v>41</v>
      </c>
    </row>
    <row r="23" customFormat="false" ht="15" hidden="false" customHeight="false" outlineLevel="0" collapsed="false">
      <c r="A23" s="3" t="s">
        <v>103</v>
      </c>
      <c r="B23" s="3" t="s">
        <v>95</v>
      </c>
      <c r="C23" s="3" t="s">
        <v>96</v>
      </c>
      <c r="D23" s="14" t="n">
        <v>0.0392096280501285</v>
      </c>
      <c r="E23" s="14" t="n">
        <v>0.0330838050488235</v>
      </c>
      <c r="F23" s="14" t="n">
        <v>0.0228267771286289</v>
      </c>
      <c r="G23" s="30" t="n">
        <v>0.978648157565908</v>
      </c>
      <c r="H23" s="14" t="n">
        <v>-0.0280608702831216</v>
      </c>
      <c r="I23" s="31" t="n">
        <v>43</v>
      </c>
    </row>
    <row r="24" customFormat="false" ht="15" hidden="false" customHeight="false" outlineLevel="0" collapsed="false">
      <c r="A24" s="3" t="s">
        <v>103</v>
      </c>
      <c r="B24" s="3" t="s">
        <v>97</v>
      </c>
      <c r="C24" s="3" t="s">
        <v>96</v>
      </c>
      <c r="D24" s="14" t="n">
        <v>0.0456325984502047</v>
      </c>
      <c r="E24" s="14" t="n">
        <v>0.0402981446216636</v>
      </c>
      <c r="F24" s="14" t="n">
        <v>0.0216365338141482</v>
      </c>
      <c r="G24" s="30" t="n">
        <v>1.12968166208817</v>
      </c>
      <c r="H24" s="14" t="n">
        <v>-0.0276507720251849</v>
      </c>
      <c r="I24" s="31" t="n">
        <v>43</v>
      </c>
    </row>
    <row r="25" customFormat="false" ht="15" hidden="false" customHeight="false" outlineLevel="0" collapsed="false">
      <c r="A25" s="3" t="s">
        <v>103</v>
      </c>
      <c r="B25" s="3" t="s">
        <v>92</v>
      </c>
      <c r="C25" s="3" t="s">
        <v>93</v>
      </c>
      <c r="D25" s="14" t="n">
        <v>0.0459282795795008</v>
      </c>
      <c r="E25" s="14" t="n">
        <v>0.0392061092657187</v>
      </c>
      <c r="F25" s="14" t="n">
        <v>0.0256360266455875</v>
      </c>
      <c r="G25" s="30" t="n">
        <v>1.12603120502826</v>
      </c>
      <c r="H25" s="14" t="n">
        <v>-0.00578622912137297</v>
      </c>
      <c r="I25" s="31" t="n">
        <v>43</v>
      </c>
    </row>
    <row r="26" customFormat="false" ht="15" hidden="false" customHeight="false" outlineLevel="0" collapsed="false">
      <c r="A26" s="3" t="s">
        <v>103</v>
      </c>
      <c r="B26" s="3" t="s">
        <v>98</v>
      </c>
      <c r="C26" s="3" t="s">
        <v>93</v>
      </c>
      <c r="D26" s="14" t="n">
        <v>0.0488222852946737</v>
      </c>
      <c r="E26" s="14" t="n">
        <v>0.0473165722978893</v>
      </c>
      <c r="F26" s="14" t="n">
        <v>0.0261852947398937</v>
      </c>
      <c r="G26" s="30" t="n">
        <v>1.2185212584834</v>
      </c>
      <c r="H26" s="14" t="n">
        <v>-0.0377453180943334</v>
      </c>
      <c r="I26" s="31" t="n">
        <v>43</v>
      </c>
    </row>
    <row r="27" customFormat="false" ht="15" hidden="false" customHeight="false" outlineLevel="0" collapsed="false">
      <c r="A27" s="3" t="s">
        <v>103</v>
      </c>
      <c r="B27" s="3" t="s">
        <v>100</v>
      </c>
      <c r="C27" s="3" t="s">
        <v>93</v>
      </c>
      <c r="D27" s="14" t="n">
        <v>0.0526834734866744</v>
      </c>
      <c r="E27" s="14" t="n">
        <v>0.0494563128828437</v>
      </c>
      <c r="F27" s="14" t="n">
        <v>0.0224328567582013</v>
      </c>
      <c r="G27" s="30" t="n">
        <v>1.30932482389277</v>
      </c>
      <c r="H27" s="14" t="n">
        <v>-0.0377453180943334</v>
      </c>
      <c r="I27" s="31" t="n">
        <v>43</v>
      </c>
    </row>
    <row r="28" customFormat="false" ht="15" hidden="false" customHeight="false" outlineLevel="0" collapsed="false">
      <c r="A28" s="3" t="s">
        <v>103</v>
      </c>
      <c r="B28" s="3" t="s">
        <v>99</v>
      </c>
      <c r="C28" s="3" t="s">
        <v>96</v>
      </c>
      <c r="D28" s="14" t="n">
        <v>0.0569727679530814</v>
      </c>
      <c r="E28" s="14" t="n">
        <v>0.0511887879086421</v>
      </c>
      <c r="F28" s="14" t="n">
        <v>0.024550656530598</v>
      </c>
      <c r="G28" s="30" t="n">
        <v>1.40837717715754</v>
      </c>
      <c r="H28" s="14" t="n">
        <v>-0.0470209962095977</v>
      </c>
      <c r="I28" s="31" t="n">
        <v>43</v>
      </c>
    </row>
    <row r="29" customFormat="false" ht="15" hidden="false" customHeight="false" outlineLevel="0" collapsed="false">
      <c r="A29" s="3" t="s">
        <v>103</v>
      </c>
      <c r="B29" s="3" t="s">
        <v>101</v>
      </c>
      <c r="C29" s="3" t="s">
        <v>96</v>
      </c>
      <c r="D29" s="14" t="n">
        <v>0.0579485372186151</v>
      </c>
      <c r="E29" s="14" t="n">
        <v>0.053630885507279</v>
      </c>
      <c r="F29" s="14" t="n">
        <v>0.0246779438675664</v>
      </c>
      <c r="G29" s="30" t="n">
        <v>1.43183296469165</v>
      </c>
      <c r="H29" s="14" t="n">
        <v>-0.0485894033178114</v>
      </c>
      <c r="I29" s="31" t="n">
        <v>43</v>
      </c>
    </row>
    <row r="30" customFormat="false" ht="15" hidden="false" customHeight="false" outlineLevel="0" collapsed="false">
      <c r="A30" s="3" t="s">
        <v>103</v>
      </c>
      <c r="B30" s="3" t="s">
        <v>94</v>
      </c>
      <c r="C30" s="3" t="s">
        <v>93</v>
      </c>
      <c r="D30" s="14" t="n">
        <v>0.0589476374219212</v>
      </c>
      <c r="E30" s="14" t="n">
        <v>0.0577298822291052</v>
      </c>
      <c r="F30" s="14" t="n">
        <v>0.0160731514215597</v>
      </c>
      <c r="G30" s="30" t="n">
        <v>1.42544062224504</v>
      </c>
      <c r="H30" s="14" t="n">
        <v>-0.00914456805632709</v>
      </c>
      <c r="I30" s="31" t="n">
        <v>43</v>
      </c>
    </row>
    <row r="32" customFormat="false" ht="15" hidden="false" customHeight="false" outlineLevel="0" collapsed="false">
      <c r="A32" s="3" t="s">
        <v>104</v>
      </c>
      <c r="B32" s="3" t="s">
        <v>95</v>
      </c>
      <c r="C32" s="3" t="s">
        <v>96</v>
      </c>
      <c r="D32" s="14" t="n">
        <v>0.0401300866646136</v>
      </c>
      <c r="E32" s="14" t="n">
        <v>0.0331561106619844</v>
      </c>
      <c r="F32" s="14" t="n">
        <v>0.0229875688655732</v>
      </c>
      <c r="G32" s="30" t="n">
        <v>1.00332551272254</v>
      </c>
      <c r="H32" s="14" t="n">
        <v>-0.0295408484985765</v>
      </c>
      <c r="I32" s="31" t="n">
        <v>41</v>
      </c>
    </row>
    <row r="33" customFormat="false" ht="15" hidden="false" customHeight="false" outlineLevel="0" collapsed="false">
      <c r="A33" s="3" t="s">
        <v>104</v>
      </c>
      <c r="B33" s="3" t="s">
        <v>97</v>
      </c>
      <c r="C33" s="3" t="s">
        <v>96</v>
      </c>
      <c r="D33" s="14" t="n">
        <v>0.0464787818613474</v>
      </c>
      <c r="E33" s="14" t="n">
        <v>0.0416053944442487</v>
      </c>
      <c r="F33" s="14" t="n">
        <v>0.0218095598147712</v>
      </c>
      <c r="G33" s="30" t="n">
        <v>1.15282439256541</v>
      </c>
      <c r="H33" s="14" t="n">
        <v>-0.029143503006723</v>
      </c>
      <c r="I33" s="31" t="n">
        <v>41</v>
      </c>
    </row>
    <row r="34" customFormat="false" ht="15" hidden="false" customHeight="false" outlineLevel="0" collapsed="false">
      <c r="A34" s="3" t="s">
        <v>104</v>
      </c>
      <c r="B34" s="3" t="s">
        <v>92</v>
      </c>
      <c r="C34" s="3" t="s">
        <v>93</v>
      </c>
      <c r="D34" s="14" t="n">
        <v>0.0470814744351097</v>
      </c>
      <c r="E34" s="14" t="n">
        <v>0.0394587892235135</v>
      </c>
      <c r="F34" s="14" t="n">
        <v>0.0256960878871016</v>
      </c>
      <c r="G34" s="30" t="n">
        <v>1.1555958384461</v>
      </c>
      <c r="H34" s="14" t="n">
        <v>-0.00635161731864917</v>
      </c>
      <c r="I34" s="31" t="n">
        <v>41</v>
      </c>
    </row>
    <row r="35" customFormat="false" ht="15" hidden="false" customHeight="false" outlineLevel="0" collapsed="false">
      <c r="A35" s="3" t="s">
        <v>104</v>
      </c>
      <c r="B35" s="3" t="s">
        <v>98</v>
      </c>
      <c r="C35" s="3" t="s">
        <v>93</v>
      </c>
      <c r="D35" s="14" t="n">
        <v>0.050203250387149</v>
      </c>
      <c r="E35" s="14" t="n">
        <v>0.0480919530974017</v>
      </c>
      <c r="F35" s="14" t="n">
        <v>0.0260357706213302</v>
      </c>
      <c r="G35" s="30" t="n">
        <v>1.25453380858937</v>
      </c>
      <c r="H35" s="14" t="n">
        <v>-0.0398358398692493</v>
      </c>
      <c r="I35" s="31" t="n">
        <v>41</v>
      </c>
    </row>
    <row r="36" customFormat="false" ht="15" hidden="false" customHeight="false" outlineLevel="0" collapsed="false">
      <c r="A36" s="3" t="s">
        <v>104</v>
      </c>
      <c r="B36" s="3" t="s">
        <v>100</v>
      </c>
      <c r="C36" s="3" t="s">
        <v>93</v>
      </c>
      <c r="D36" s="14" t="n">
        <v>0.0537566328450064</v>
      </c>
      <c r="E36" s="14" t="n">
        <v>0.0498299493382554</v>
      </c>
      <c r="F36" s="14" t="n">
        <v>0.022425234787998</v>
      </c>
      <c r="G36" s="30" t="n">
        <v>1.33860250011707</v>
      </c>
      <c r="H36" s="14" t="n">
        <v>-0.0398358398692493</v>
      </c>
      <c r="I36" s="31" t="n">
        <v>41</v>
      </c>
    </row>
    <row r="37" customFormat="false" ht="15" hidden="false" customHeight="false" outlineLevel="0" collapsed="false">
      <c r="A37" s="3" t="s">
        <v>104</v>
      </c>
      <c r="B37" s="3" t="s">
        <v>99</v>
      </c>
      <c r="C37" s="3" t="s">
        <v>96</v>
      </c>
      <c r="D37" s="14" t="n">
        <v>0.0578707692141331</v>
      </c>
      <c r="E37" s="14" t="n">
        <v>0.0566047746035936</v>
      </c>
      <c r="F37" s="14" t="n">
        <v>0.0248012004359002</v>
      </c>
      <c r="G37" s="30" t="n">
        <v>1.43228302891233</v>
      </c>
      <c r="H37" s="14" t="n">
        <v>-0.0480046242561004</v>
      </c>
      <c r="I37" s="31" t="n">
        <v>41</v>
      </c>
    </row>
    <row r="38" customFormat="false" ht="15" hidden="false" customHeight="false" outlineLevel="0" collapsed="false">
      <c r="A38" s="3" t="s">
        <v>104</v>
      </c>
      <c r="B38" s="3" t="s">
        <v>101</v>
      </c>
      <c r="C38" s="3" t="s">
        <v>96</v>
      </c>
      <c r="D38" s="14" t="n">
        <v>0.0587945335615549</v>
      </c>
      <c r="E38" s="14" t="n">
        <v>0.056781202620324</v>
      </c>
      <c r="F38" s="14" t="n">
        <v>0.0249733197843155</v>
      </c>
      <c r="G38" s="30" t="n">
        <v>1.45442075828578</v>
      </c>
      <c r="H38" s="14" t="n">
        <v>-0.0494569167809309</v>
      </c>
      <c r="I38" s="31" t="n">
        <v>41</v>
      </c>
    </row>
    <row r="39" customFormat="false" ht="15" hidden="false" customHeight="false" outlineLevel="0" collapsed="false">
      <c r="A39" s="3" t="s">
        <v>104</v>
      </c>
      <c r="B39" s="3" t="s">
        <v>94</v>
      </c>
      <c r="C39" s="3" t="s">
        <v>93</v>
      </c>
      <c r="D39" s="14" t="n">
        <v>0.0595967554620331</v>
      </c>
      <c r="E39" s="14" t="n">
        <v>0.0578254869443796</v>
      </c>
      <c r="F39" s="14" t="n">
        <v>0.0159879721139201</v>
      </c>
      <c r="G39" s="30" t="n">
        <v>1.44308617776601</v>
      </c>
      <c r="H39" s="14" t="n">
        <v>-0.0117731531044284</v>
      </c>
      <c r="I39" s="31" t="n">
        <v>41</v>
      </c>
    </row>
    <row r="41" customFormat="false" ht="15" hidden="false" customHeight="false" outlineLevel="0" collapsed="false">
      <c r="A41" s="5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8"/>
  </cols>
  <sheetData>
    <row r="1" customFormat="false" ht="16.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A3" s="5" t="s">
        <v>108</v>
      </c>
    </row>
    <row r="4" customFormat="false" ht="27.75" hidden="false" customHeight="true" outlineLevel="0" collapsed="false">
      <c r="A4" s="7" t="s">
        <v>83</v>
      </c>
      <c r="B4" s="7" t="s">
        <v>109</v>
      </c>
      <c r="C4" s="7" t="s">
        <v>110</v>
      </c>
      <c r="D4" s="7" t="s">
        <v>111</v>
      </c>
      <c r="E4" s="7" t="s">
        <v>112</v>
      </c>
      <c r="F4" s="7" t="s">
        <v>113</v>
      </c>
      <c r="G4" s="7" t="s">
        <v>114</v>
      </c>
      <c r="H4" s="7" t="s">
        <v>115</v>
      </c>
      <c r="I4" s="7" t="s">
        <v>116</v>
      </c>
      <c r="J4" s="7" t="s">
        <v>117</v>
      </c>
      <c r="K4" s="7" t="s">
        <v>118</v>
      </c>
      <c r="L4" s="7" t="s">
        <v>119</v>
      </c>
      <c r="M4" s="7" t="s">
        <v>120</v>
      </c>
    </row>
    <row r="5" customFormat="false" ht="15" hidden="false" customHeight="false" outlineLevel="0" collapsed="false">
      <c r="A5" s="3" t="s">
        <v>94</v>
      </c>
      <c r="B5" s="14" t="n">
        <v>0.0468284330463479</v>
      </c>
      <c r="C5" s="14" t="n">
        <v>0.0457417898372434</v>
      </c>
      <c r="D5" s="14" t="n">
        <v>0.04748371327292</v>
      </c>
      <c r="E5" s="14" t="n">
        <v>0.0479471330336535</v>
      </c>
      <c r="F5" s="14" t="n">
        <v>0.0502703781210845</v>
      </c>
      <c r="G5" s="14" t="n">
        <v>0.0489356221281781</v>
      </c>
      <c r="H5" s="14" t="n">
        <v>0.0503659118298511</v>
      </c>
      <c r="I5" s="14" t="n">
        <v>0.0506753974232828</v>
      </c>
      <c r="J5" s="14" t="n">
        <v>0.0500400802991983</v>
      </c>
      <c r="K5" s="14" t="n">
        <v>0.0539692144052105</v>
      </c>
      <c r="L5" s="14" t="n">
        <v>0.0524483341305254</v>
      </c>
      <c r="M5" s="14" t="n">
        <v>0.0535801057598056</v>
      </c>
    </row>
    <row r="6" customFormat="false" ht="15" hidden="false" customHeight="false" outlineLevel="0" collapsed="false">
      <c r="A6" s="3" t="s">
        <v>92</v>
      </c>
      <c r="B6" s="14" t="n">
        <v>0.025968832573814</v>
      </c>
      <c r="C6" s="14" t="n">
        <v>0.0273704976064737</v>
      </c>
      <c r="D6" s="14" t="n">
        <v>0.0299690266560901</v>
      </c>
      <c r="E6" s="14" t="n">
        <v>0.0349408434228433</v>
      </c>
      <c r="F6" s="14" t="n">
        <v>0.0378025137894838</v>
      </c>
      <c r="G6" s="14" t="n">
        <v>0.0428677042970135</v>
      </c>
      <c r="H6" s="14" t="n">
        <v>0.0455683593802669</v>
      </c>
      <c r="I6" s="14" t="n">
        <v>0.0495911143636002</v>
      </c>
      <c r="J6" s="14" t="n">
        <v>0.0537594730089711</v>
      </c>
      <c r="K6" s="14" t="n">
        <v>0.0587109766087614</v>
      </c>
      <c r="L6" s="14" t="n">
        <v>0.0605116669642348</v>
      </c>
      <c r="M6" s="14" t="n">
        <v>0.0658487932560706</v>
      </c>
    </row>
    <row r="7" customFormat="false" ht="15" hidden="false" customHeight="false" outlineLevel="0" collapsed="false">
      <c r="A7" s="3" t="s">
        <v>95</v>
      </c>
      <c r="B7" s="14" t="n">
        <v>0.031962950760442</v>
      </c>
      <c r="C7" s="14" t="n">
        <v>0.031304177589564</v>
      </c>
      <c r="D7" s="14" t="n">
        <v>0.035831204711726</v>
      </c>
      <c r="E7" s="14" t="n">
        <v>0.0426733655383317</v>
      </c>
      <c r="F7" s="14" t="n">
        <v>0.0461716533798487</v>
      </c>
      <c r="G7" s="14" t="n">
        <v>0.0527926516133533</v>
      </c>
      <c r="H7" s="14" t="n">
        <v>0.0553967627634015</v>
      </c>
      <c r="I7" s="14" t="n">
        <v>0.059622439696915</v>
      </c>
      <c r="J7" s="14" t="n">
        <v>0.0648279084028618</v>
      </c>
      <c r="K7" s="14" t="n">
        <v>0.0677221189980821</v>
      </c>
      <c r="L7" s="14" t="n">
        <v>0.0737273254439927</v>
      </c>
      <c r="M7" s="14" t="n">
        <v>0.080186574181036</v>
      </c>
    </row>
    <row r="8" customFormat="false" ht="15" hidden="false" customHeight="false" outlineLevel="0" collapsed="false">
      <c r="A8" s="3" t="s">
        <v>100</v>
      </c>
      <c r="B8" s="14" t="n">
        <v>0.0592291762723546</v>
      </c>
      <c r="C8" s="14" t="n">
        <v>0.0635823104301682</v>
      </c>
      <c r="D8" s="14" t="n">
        <v>0.0694732925108619</v>
      </c>
      <c r="E8" s="14" t="n">
        <v>0.0742080307418344</v>
      </c>
      <c r="F8" s="14" t="n">
        <v>0.0784310503896658</v>
      </c>
      <c r="G8" s="14" t="n">
        <v>0.0841542959100449</v>
      </c>
      <c r="H8" s="14" t="n">
        <v>0.0894584206143552</v>
      </c>
      <c r="I8" s="14" t="n">
        <v>0.094442875034978</v>
      </c>
      <c r="J8" s="14" t="n">
        <v>0.0989870971853651</v>
      </c>
      <c r="K8" s="14" t="n">
        <v>0.103306212777418</v>
      </c>
      <c r="L8" s="14" t="n">
        <v>0.109584523384485</v>
      </c>
      <c r="M8" s="14" t="n">
        <v>0.114875109456126</v>
      </c>
    </row>
    <row r="9" customFormat="false" ht="15" hidden="false" customHeight="false" outlineLevel="0" collapsed="false">
      <c r="A9" s="3" t="s">
        <v>97</v>
      </c>
      <c r="B9" s="14" t="n">
        <v>0.0424983236062978</v>
      </c>
      <c r="C9" s="14" t="n">
        <v>0.0445560147422411</v>
      </c>
      <c r="D9" s="14" t="n">
        <v>0.0506886667050925</v>
      </c>
      <c r="E9" s="14" t="n">
        <v>0.0561114007680697</v>
      </c>
      <c r="F9" s="14" t="n">
        <v>0.0608448880741384</v>
      </c>
      <c r="G9" s="14" t="n">
        <v>0.0668632724309238</v>
      </c>
      <c r="H9" s="14" t="n">
        <v>0.070770047958402</v>
      </c>
      <c r="I9" s="14" t="n">
        <v>0.0749744320380766</v>
      </c>
      <c r="J9" s="14" t="n">
        <v>0.0787260059291977</v>
      </c>
      <c r="K9" s="14" t="n">
        <v>0.0818743441063983</v>
      </c>
      <c r="L9" s="14" t="n">
        <v>0.087727275441268</v>
      </c>
      <c r="M9" s="14" t="n">
        <v>0.093006162507098</v>
      </c>
    </row>
    <row r="10" customFormat="false" ht="15" hidden="false" customHeight="false" outlineLevel="0" collapsed="false">
      <c r="A10" s="3" t="s">
        <v>99</v>
      </c>
      <c r="B10" s="14" t="n">
        <v>0.0728104997705992</v>
      </c>
      <c r="C10" s="14" t="n">
        <v>0.0752250500198178</v>
      </c>
      <c r="D10" s="14" t="n">
        <v>0.0790960152517082</v>
      </c>
      <c r="E10" s="14" t="n">
        <v>0.0812199916699862</v>
      </c>
      <c r="F10" s="14" t="n">
        <v>0.0819385671361823</v>
      </c>
      <c r="G10" s="14" t="n">
        <v>0.0842850037026844</v>
      </c>
      <c r="H10" s="14" t="n">
        <v>0.0860479263845185</v>
      </c>
      <c r="I10" s="14" t="n">
        <v>0.0870817183104135</v>
      </c>
      <c r="J10" s="14" t="n">
        <v>0.0882659832546463</v>
      </c>
      <c r="K10" s="14" t="n">
        <v>0.0896487565221148</v>
      </c>
      <c r="L10" s="14" t="n">
        <v>0.0931062240199519</v>
      </c>
      <c r="M10" s="14" t="n">
        <v>0.0959423841422806</v>
      </c>
    </row>
    <row r="11" customFormat="false" ht="15" hidden="false" customHeight="false" outlineLevel="0" collapsed="false">
      <c r="A11" s="3" t="s">
        <v>101</v>
      </c>
      <c r="B11" s="14" t="n">
        <v>0.0868145697457094</v>
      </c>
      <c r="C11" s="14" t="n">
        <v>0.0901394489123464</v>
      </c>
      <c r="D11" s="14" t="n">
        <v>0.0946524320235268</v>
      </c>
      <c r="E11" s="14" t="n">
        <v>0.0969653501761307</v>
      </c>
      <c r="F11" s="14" t="n">
        <v>0.0978025197497042</v>
      </c>
      <c r="G11" s="14" t="n">
        <v>0.100136989442804</v>
      </c>
      <c r="H11" s="14" t="n">
        <v>0.101897072884958</v>
      </c>
      <c r="I11" s="14" t="n">
        <v>0.102106482443424</v>
      </c>
      <c r="J11" s="14" t="n">
        <v>0.103503061411579</v>
      </c>
      <c r="K11" s="14" t="n">
        <v>0.105218742253627</v>
      </c>
      <c r="L11" s="14" t="n">
        <v>0.109096065110486</v>
      </c>
      <c r="M11" s="14" t="n">
        <v>0.112604188778183</v>
      </c>
    </row>
    <row r="12" customFormat="false" ht="15" hidden="false" customHeight="false" outlineLevel="0" collapsed="false">
      <c r="A12" s="3" t="s">
        <v>98</v>
      </c>
      <c r="B12" s="14" t="n">
        <v>0.0955319518832239</v>
      </c>
      <c r="C12" s="14" t="n">
        <v>0.0931106250541017</v>
      </c>
      <c r="D12" s="14" t="n">
        <v>0.0922349435484861</v>
      </c>
      <c r="E12" s="14" t="n">
        <v>0.0905728198446559</v>
      </c>
      <c r="F12" s="14" t="n">
        <v>0.0877830249563492</v>
      </c>
      <c r="G12" s="14" t="n">
        <v>0.0861906613502071</v>
      </c>
      <c r="H12" s="14" t="n">
        <v>0.0838590469174379</v>
      </c>
      <c r="I12" s="14" t="n">
        <v>0.0819430509116739</v>
      </c>
      <c r="J12" s="14" t="n">
        <v>0.0791627379665464</v>
      </c>
      <c r="K12" s="14" t="n">
        <v>0.0762676194309011</v>
      </c>
      <c r="L12" s="14" t="n">
        <v>0.0742723213120703</v>
      </c>
      <c r="M12" s="14" t="n">
        <v>0.0730134426194813</v>
      </c>
    </row>
    <row r="15" customFormat="false" ht="15" hidden="false" customHeight="false" outlineLevel="0" collapsed="false">
      <c r="A15" s="5" t="s">
        <v>121</v>
      </c>
    </row>
    <row r="16" customFormat="false" ht="27.75" hidden="false" customHeight="true" outlineLevel="0" collapsed="false">
      <c r="A16" s="7" t="s">
        <v>83</v>
      </c>
      <c r="B16" s="7" t="s">
        <v>109</v>
      </c>
      <c r="C16" s="7" t="s">
        <v>110</v>
      </c>
      <c r="D16" s="7" t="s">
        <v>111</v>
      </c>
      <c r="E16" s="7" t="s">
        <v>112</v>
      </c>
      <c r="F16" s="7" t="s">
        <v>113</v>
      </c>
      <c r="G16" s="7" t="s">
        <v>114</v>
      </c>
      <c r="H16" s="7" t="s">
        <v>115</v>
      </c>
      <c r="I16" s="7" t="s">
        <v>116</v>
      </c>
      <c r="J16" s="7" t="s">
        <v>117</v>
      </c>
      <c r="K16" s="7" t="s">
        <v>118</v>
      </c>
      <c r="L16" s="7" t="s">
        <v>119</v>
      </c>
      <c r="M16" s="7" t="s">
        <v>120</v>
      </c>
    </row>
    <row r="17" customFormat="false" ht="15" hidden="false" customHeight="false" outlineLevel="0" collapsed="false">
      <c r="A17" s="3" t="s">
        <v>94</v>
      </c>
      <c r="B17" s="14" t="n">
        <v>-0.0112848798278779</v>
      </c>
      <c r="C17" s="14" t="n">
        <v>-0.00949823389871133</v>
      </c>
      <c r="D17" s="14" t="n">
        <v>-0.00921626810355434</v>
      </c>
      <c r="E17" s="14" t="n">
        <v>-0.00800389772957176</v>
      </c>
      <c r="F17" s="14" t="n">
        <v>-0.00556471561582492</v>
      </c>
      <c r="G17" s="14" t="n">
        <v>-0.00445856355926525</v>
      </c>
      <c r="H17" s="14" t="n">
        <v>-0.00264394346062082</v>
      </c>
      <c r="I17" s="14" t="n">
        <v>-0.00110848529281747</v>
      </c>
      <c r="J17" s="14" t="n">
        <v>0.00126847122602036</v>
      </c>
      <c r="K17" s="14" t="n">
        <v>0.00381859611372386</v>
      </c>
      <c r="L17" s="14" t="n">
        <v>0.00518466700752142</v>
      </c>
      <c r="M17" s="14" t="n">
        <v>0.00592562904527559</v>
      </c>
    </row>
    <row r="18" customFormat="false" ht="15" hidden="false" customHeight="false" outlineLevel="0" collapsed="false">
      <c r="A18" s="3" t="s">
        <v>92</v>
      </c>
      <c r="B18" s="14" t="n">
        <v>-0.00560747034050061</v>
      </c>
      <c r="C18" s="14" t="n">
        <v>-0.00598520536338965</v>
      </c>
      <c r="D18" s="14" t="n">
        <v>-0.0069355159726991</v>
      </c>
      <c r="E18" s="14" t="n">
        <v>-0.00775906833694519</v>
      </c>
      <c r="F18" s="14" t="n">
        <v>-0.00703126695188456</v>
      </c>
      <c r="G18" s="14" t="n">
        <v>-0.00864448912057048</v>
      </c>
      <c r="H18" s="14" t="n">
        <v>-0.00886548626000631</v>
      </c>
      <c r="I18" s="14" t="n">
        <v>-0.00844710843557061</v>
      </c>
      <c r="J18" s="14" t="n">
        <v>-0.0082460598522319</v>
      </c>
      <c r="K18" s="14" t="n">
        <v>-0.00784129353870743</v>
      </c>
      <c r="L18" s="14" t="n">
        <v>-0.00976983667528319</v>
      </c>
      <c r="M18" s="14" t="n">
        <v>-0.0100171885255334</v>
      </c>
    </row>
    <row r="19" customFormat="false" ht="15" hidden="false" customHeight="false" outlineLevel="0" collapsed="false">
      <c r="A19" s="3" t="s">
        <v>95</v>
      </c>
      <c r="B19" s="14" t="n">
        <v>-0.0163854956260343</v>
      </c>
      <c r="C19" s="14" t="n">
        <v>-0.0227096783744299</v>
      </c>
      <c r="D19" s="14" t="n">
        <v>-0.0298804607698866</v>
      </c>
      <c r="E19" s="14" t="n">
        <v>-0.0359545308196373</v>
      </c>
      <c r="F19" s="14" t="n">
        <v>-0.0405143227167018</v>
      </c>
      <c r="G19" s="14" t="n">
        <v>-0.0470325152489935</v>
      </c>
      <c r="H19" s="14" t="n">
        <v>-0.0524071571627259</v>
      </c>
      <c r="I19" s="14" t="n">
        <v>-0.0563455061362186</v>
      </c>
      <c r="J19" s="14" t="n">
        <v>-0.0612964413392652</v>
      </c>
      <c r="K19" s="14" t="n">
        <v>-0.065981255977369</v>
      </c>
      <c r="L19" s="14" t="n">
        <v>-0.072942968336574</v>
      </c>
      <c r="M19" s="14" t="n">
        <v>-0.079773738403854</v>
      </c>
    </row>
    <row r="20" customFormat="false" ht="15" hidden="false" customHeight="false" outlineLevel="0" collapsed="false">
      <c r="A20" s="3" t="s">
        <v>100</v>
      </c>
      <c r="B20" s="14" t="n">
        <v>-0.0514284323286387</v>
      </c>
      <c r="C20" s="14" t="n">
        <v>-0.0571831235836575</v>
      </c>
      <c r="D20" s="14" t="n">
        <v>-0.0646247027899922</v>
      </c>
      <c r="E20" s="14" t="n">
        <v>-0.0704942447240452</v>
      </c>
      <c r="F20" s="14" t="n">
        <v>-0.0753052564579479</v>
      </c>
      <c r="G20" s="14" t="n">
        <v>-0.0819475846284905</v>
      </c>
      <c r="H20" s="14" t="n">
        <v>-0.0879493085798319</v>
      </c>
      <c r="I20" s="14" t="n">
        <v>-0.0915108801136643</v>
      </c>
      <c r="J20" s="14" t="n">
        <v>-0.0966438280710984</v>
      </c>
      <c r="K20" s="14" t="n">
        <v>-0.101584495719133</v>
      </c>
      <c r="L20" s="14" t="n">
        <v>-0.108032446551537</v>
      </c>
      <c r="M20" s="14" t="n">
        <v>-0.113528525329748</v>
      </c>
    </row>
    <row r="21" customFormat="false" ht="15" hidden="false" customHeight="false" outlineLevel="0" collapsed="false">
      <c r="A21" s="3" t="s">
        <v>97</v>
      </c>
      <c r="B21" s="14" t="n">
        <v>-0.0289776585060615</v>
      </c>
      <c r="C21" s="14" t="n">
        <v>-0.0358176560258594</v>
      </c>
      <c r="D21" s="14" t="n">
        <v>-0.0436187315825958</v>
      </c>
      <c r="E21" s="14" t="n">
        <v>-0.0500023306949967</v>
      </c>
      <c r="F21" s="14" t="n">
        <v>-0.054773610424404</v>
      </c>
      <c r="G21" s="14" t="n">
        <v>-0.0610253032983881</v>
      </c>
      <c r="H21" s="14" t="n">
        <v>-0.0665111304635229</v>
      </c>
      <c r="I21" s="14" t="n">
        <v>-0.0695303562377884</v>
      </c>
      <c r="J21" s="14" t="n">
        <v>-0.0741100416252353</v>
      </c>
      <c r="K21" s="14" t="n">
        <v>-0.0784916256547754</v>
      </c>
      <c r="L21" s="14" t="n">
        <v>-0.0851610145664273</v>
      </c>
      <c r="M21" s="14" t="n">
        <v>-0.0911833562542217</v>
      </c>
    </row>
    <row r="22" customFormat="false" ht="15" hidden="false" customHeight="false" outlineLevel="0" collapsed="false">
      <c r="A22" s="3" t="s">
        <v>99</v>
      </c>
      <c r="B22" s="14" t="n">
        <v>-0.0703330143610718</v>
      </c>
      <c r="C22" s="14" t="n">
        <v>-0.0735437679074316</v>
      </c>
      <c r="D22" s="14" t="n">
        <v>-0.0779201443185784</v>
      </c>
      <c r="E22" s="14" t="n">
        <v>-0.080115357307045</v>
      </c>
      <c r="F22" s="14" t="n">
        <v>-0.0809096782943475</v>
      </c>
      <c r="G22" s="14" t="n">
        <v>-0.0833285688415624</v>
      </c>
      <c r="H22" s="14" t="n">
        <v>-0.0852284794693729</v>
      </c>
      <c r="I22" s="14" t="n">
        <v>-0.0848187577228645</v>
      </c>
      <c r="J22" s="14" t="n">
        <v>-0.0860991638426632</v>
      </c>
      <c r="K22" s="14" t="n">
        <v>-0.0877334136088113</v>
      </c>
      <c r="L22" s="14" t="n">
        <v>-0.0914571637737131</v>
      </c>
      <c r="M22" s="14" t="n">
        <v>-0.0947939080723955</v>
      </c>
    </row>
    <row r="23" customFormat="false" ht="15" hidden="false" customHeight="false" outlineLevel="0" collapsed="false">
      <c r="A23" s="3" t="s">
        <v>101</v>
      </c>
      <c r="B23" s="14" t="n">
        <v>-0.08610705788507</v>
      </c>
      <c r="C23" s="14" t="n">
        <v>-0.0896604890549344</v>
      </c>
      <c r="D23" s="14" t="n">
        <v>-0.094304922420287</v>
      </c>
      <c r="E23" s="14" t="n">
        <v>-0.0966927205989101</v>
      </c>
      <c r="F23" s="14" t="n">
        <v>-0.0976046499220187</v>
      </c>
      <c r="G23" s="14" t="n">
        <v>-0.100007278721863</v>
      </c>
      <c r="H23" s="14" t="n">
        <v>-0.101891122349412</v>
      </c>
      <c r="I23" s="14" t="n">
        <v>-0.101550330734819</v>
      </c>
      <c r="J23" s="14" t="n">
        <v>-0.102969739143764</v>
      </c>
      <c r="K23" s="14" t="n">
        <v>-0.104836614483311</v>
      </c>
      <c r="L23" s="14" t="n">
        <v>-0.108853541136521</v>
      </c>
      <c r="M23" s="14" t="n">
        <v>-0.112552415021293</v>
      </c>
    </row>
    <row r="24" customFormat="false" ht="15" hidden="false" customHeight="false" outlineLevel="0" collapsed="false">
      <c r="A24" s="3" t="s">
        <v>98</v>
      </c>
      <c r="B24" s="14" t="n">
        <v>-0.0955319518832239</v>
      </c>
      <c r="C24" s="14" t="n">
        <v>-0.0931106250541017</v>
      </c>
      <c r="D24" s="14" t="n">
        <v>-0.0922349435484861</v>
      </c>
      <c r="E24" s="14" t="n">
        <v>-0.0905728198446559</v>
      </c>
      <c r="F24" s="14" t="n">
        <v>-0.0876530893374797</v>
      </c>
      <c r="G24" s="14" t="n">
        <v>-0.0860607257313377</v>
      </c>
      <c r="H24" s="14" t="n">
        <v>-0.0837291112985684</v>
      </c>
      <c r="I24" s="14" t="n">
        <v>-0.0818131152928044</v>
      </c>
      <c r="J24" s="14" t="n">
        <v>-0.0790328023476769</v>
      </c>
      <c r="K24" s="14" t="n">
        <v>-0.0761376838120317</v>
      </c>
      <c r="L24" s="14" t="n">
        <v>-0.0741423856932008</v>
      </c>
      <c r="M24" s="14" t="n">
        <v>-0.0728835070006119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27.75" hidden="false" customHeight="true" outlineLevel="0" collapsed="false">
      <c r="A4" s="7" t="s">
        <v>72</v>
      </c>
      <c r="B4" s="7" t="s">
        <v>124</v>
      </c>
      <c r="C4" s="7" t="s">
        <v>125</v>
      </c>
      <c r="D4" s="7" t="s">
        <v>51</v>
      </c>
      <c r="E4" s="7" t="s">
        <v>126</v>
      </c>
      <c r="F4" s="7" t="s">
        <v>127</v>
      </c>
      <c r="G4" s="7" t="s">
        <v>128</v>
      </c>
      <c r="H4" s="7" t="s">
        <v>32</v>
      </c>
    </row>
    <row r="5" customFormat="false" ht="15" hidden="false" customHeight="false" outlineLevel="0" collapsed="false">
      <c r="A5" s="20" t="n">
        <v>2015</v>
      </c>
      <c r="B5" s="10" t="n">
        <v>204450049</v>
      </c>
      <c r="C5" s="3" t="s">
        <v>129</v>
      </c>
      <c r="E5" s="10" t="n">
        <v>13714748</v>
      </c>
      <c r="F5" s="32" t="n">
        <f aca="false">E5/B5*100000</f>
        <v>6708.11675863184</v>
      </c>
    </row>
    <row r="6" customFormat="false" ht="15" hidden="false" customHeight="false" outlineLevel="0" collapsed="false">
      <c r="A6" s="20" t="n">
        <v>2016</v>
      </c>
      <c r="B6" s="10" t="n">
        <v>206081432</v>
      </c>
      <c r="C6" s="3" t="s">
        <v>129</v>
      </c>
      <c r="D6" s="15" t="n">
        <f aca="false">B6/B5-1</f>
        <v>0.00797937201766086</v>
      </c>
      <c r="E6" s="10" t="n">
        <v>14072631</v>
      </c>
      <c r="F6" s="32" t="n">
        <f aca="false">E6/B6*100000</f>
        <v>6828.67489003085</v>
      </c>
      <c r="G6" s="15" t="n">
        <f aca="false">F6/F5-1</f>
        <v>0.0179719786844619</v>
      </c>
    </row>
    <row r="7" customFormat="false" ht="15" hidden="false" customHeight="false" outlineLevel="0" collapsed="false">
      <c r="A7" s="20" t="n">
        <v>2017</v>
      </c>
      <c r="B7" s="10" t="n">
        <v>207660929</v>
      </c>
      <c r="C7" s="3" t="s">
        <v>129</v>
      </c>
      <c r="D7" s="15" t="n">
        <f aca="false">B7/B6-1</f>
        <v>0.00766443140787176</v>
      </c>
      <c r="E7" s="10" t="n">
        <v>14460319</v>
      </c>
      <c r="F7" s="32" t="n">
        <f aca="false">E7/B7*100000</f>
        <v>6963.42786755038</v>
      </c>
      <c r="G7" s="15" t="n">
        <f aca="false">F7/F6-1</f>
        <v>0.0197334006508718</v>
      </c>
    </row>
    <row r="8" customFormat="false" ht="15" hidden="false" customHeight="false" outlineLevel="0" collapsed="false">
      <c r="A8" s="20" t="n">
        <v>2018</v>
      </c>
      <c r="B8" s="10" t="n">
        <v>208494900</v>
      </c>
      <c r="C8" s="3" t="s">
        <v>129</v>
      </c>
      <c r="D8" s="15" t="n">
        <f aca="false">B8/B7-1</f>
        <v>0.00401602267704382</v>
      </c>
      <c r="E8" s="10" t="n">
        <v>15086342</v>
      </c>
      <c r="F8" s="32" t="n">
        <f aca="false">E8/B8*100000</f>
        <v>7235.83262708105</v>
      </c>
      <c r="G8" s="15" t="n">
        <f aca="false">F8/F7-1</f>
        <v>0.0391193482164263</v>
      </c>
    </row>
    <row r="9" customFormat="false" ht="15" hidden="false" customHeight="false" outlineLevel="0" collapsed="false">
      <c r="A9" s="20" t="n">
        <v>2019</v>
      </c>
      <c r="B9" s="10" t="n">
        <v>210147125</v>
      </c>
      <c r="C9" s="3" t="s">
        <v>129</v>
      </c>
      <c r="D9" s="15" t="n">
        <f aca="false">B9/B8-1</f>
        <v>0.00792453436510909</v>
      </c>
      <c r="E9" s="10" t="n">
        <v>15798962</v>
      </c>
      <c r="F9" s="32" t="n">
        <f aca="false">E9/B9*100000</f>
        <v>7518.04812937603</v>
      </c>
      <c r="G9" s="15" t="n">
        <f aca="false">F9/F8-1</f>
        <v>0.0390024917434866</v>
      </c>
    </row>
    <row r="10" customFormat="false" ht="15" hidden="false" customHeight="false" outlineLevel="0" collapsed="false">
      <c r="A10" s="20" t="n">
        <v>2020</v>
      </c>
      <c r="B10" s="10" t="n">
        <v>211755692</v>
      </c>
      <c r="C10" s="3" t="s">
        <v>129</v>
      </c>
      <c r="D10" s="15" t="n">
        <f aca="false">B10/B9-1</f>
        <v>0.00765448016478931</v>
      </c>
      <c r="E10" s="10" t="n">
        <v>16436309</v>
      </c>
      <c r="F10" s="32" t="n">
        <f aca="false">E10/B10*100000</f>
        <v>7761.92075158008</v>
      </c>
      <c r="G10" s="15" t="n">
        <f aca="false">F10/F9-1</f>
        <v>0.0324382895676267</v>
      </c>
    </row>
    <row r="11" customFormat="false" ht="15" hidden="false" customHeight="false" outlineLevel="0" collapsed="false">
      <c r="A11" s="20" t="n">
        <v>2021</v>
      </c>
      <c r="B11" s="10" t="n">
        <v>213317639</v>
      </c>
      <c r="C11" s="3" t="s">
        <v>129</v>
      </c>
      <c r="D11" s="15" t="n">
        <f aca="false">B11/B10-1</f>
        <v>0.00737617480431174</v>
      </c>
      <c r="E11" s="10" t="n">
        <v>16427409</v>
      </c>
      <c r="F11" s="32" t="n">
        <f aca="false">E11/B11*100000</f>
        <v>7700.91450337119</v>
      </c>
      <c r="G11" s="15" t="n">
        <f aca="false">F11/F10-1</f>
        <v>-0.00785968449838526</v>
      </c>
    </row>
    <row r="12" customFormat="false" ht="15" hidden="false" customHeight="false" outlineLevel="0" collapsed="false">
      <c r="A12" s="21" t="n">
        <v>2022</v>
      </c>
      <c r="B12" s="23" t="n">
        <v>203080756</v>
      </c>
      <c r="C12" s="16" t="s">
        <v>130</v>
      </c>
      <c r="D12" s="18" t="n">
        <f aca="false">B12/B11-1</f>
        <v>-0.0479889194723367</v>
      </c>
      <c r="E12" s="23" t="n">
        <v>16866120</v>
      </c>
      <c r="F12" s="33" t="n">
        <f aca="false">E12/B12*100000</f>
        <v>8305.12961060673</v>
      </c>
      <c r="G12" s="18" t="n">
        <f aca="false">F12/F11-1</f>
        <v>0.0784601759922192</v>
      </c>
      <c r="H12" s="25" t="s">
        <v>131</v>
      </c>
    </row>
    <row r="13" customFormat="false" ht="15" hidden="false" customHeight="false" outlineLevel="0" collapsed="false">
      <c r="A13" s="20" t="n">
        <v>2023</v>
      </c>
      <c r="B13" s="10" t="n">
        <v>207766456</v>
      </c>
      <c r="C13" s="3" t="s">
        <v>132</v>
      </c>
      <c r="D13" s="15" t="n">
        <f aca="false">B13/B12-1</f>
        <v>0.0230730872402307</v>
      </c>
      <c r="E13" s="10" t="n">
        <v>17662215</v>
      </c>
      <c r="F13" s="32" t="n">
        <f aca="false">E13/B13*100000</f>
        <v>8500.99450124904</v>
      </c>
      <c r="G13" s="15" t="n">
        <f aca="false">F13/F12-1</f>
        <v>0.0235836043295659</v>
      </c>
      <c r="H13" s="3" t="s">
        <v>133</v>
      </c>
    </row>
    <row r="14" customFormat="false" ht="15" hidden="false" customHeight="false" outlineLevel="0" collapsed="false">
      <c r="A14" s="20" t="n">
        <v>2024</v>
      </c>
      <c r="B14" s="10" t="n">
        <v>212583750</v>
      </c>
      <c r="C14" s="3" t="s">
        <v>129</v>
      </c>
      <c r="D14" s="15" t="n">
        <f aca="false">B14/B13-1</f>
        <v>0.0231861008400702</v>
      </c>
      <c r="E14" s="10" t="n">
        <v>18584597</v>
      </c>
      <c r="F14" s="32" t="n">
        <f aca="false">E14/B14*100000</f>
        <v>8742.24723197328</v>
      </c>
      <c r="G14" s="15" t="n">
        <f aca="false">F14/F13-1</f>
        <v>0.0283793538142856</v>
      </c>
    </row>
    <row r="15" customFormat="false" ht="15" hidden="false" customHeight="false" outlineLevel="0" collapsed="false">
      <c r="A15" s="20" t="n">
        <v>2025</v>
      </c>
      <c r="B15" s="10" t="n">
        <v>213421037</v>
      </c>
      <c r="C15" s="3" t="s">
        <v>129</v>
      </c>
      <c r="D15" s="15" t="n">
        <f aca="false">B15/B14-1</f>
        <v>0.00393862183727589</v>
      </c>
      <c r="E15" s="10" t="n">
        <v>19263461</v>
      </c>
      <c r="F15" s="32" t="n">
        <f aca="false">E15/B15*100000</f>
        <v>9026.03664136446</v>
      </c>
      <c r="G15" s="15" t="n">
        <f aca="false">F15/F14-1</f>
        <v>0.0324618375414125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27.75" hidden="false" customHeight="true" outlineLevel="0" collapsed="false">
      <c r="A4" s="7" t="s">
        <v>136</v>
      </c>
      <c r="B4" s="7" t="s">
        <v>137</v>
      </c>
      <c r="C4" s="7" t="s">
        <v>138</v>
      </c>
      <c r="D4" s="7" t="s">
        <v>139</v>
      </c>
      <c r="E4" s="7" t="s">
        <v>140</v>
      </c>
      <c r="F4" s="7" t="s">
        <v>141</v>
      </c>
      <c r="G4" s="7" t="s">
        <v>142</v>
      </c>
    </row>
    <row r="5" customFormat="false" ht="42" hidden="false" customHeight="true" outlineLevel="0" collapsed="false">
      <c r="A5" s="3" t="n">
        <v>1</v>
      </c>
      <c r="B5" s="6" t="s">
        <v>143</v>
      </c>
      <c r="C5" s="6" t="s">
        <v>144</v>
      </c>
      <c r="D5" s="6" t="s">
        <v>145</v>
      </c>
      <c r="E5" s="6" t="s">
        <v>146</v>
      </c>
      <c r="F5" s="34" t="s">
        <v>147</v>
      </c>
      <c r="G5" s="35"/>
    </row>
    <row r="6" customFormat="false" ht="42" hidden="false" customHeight="true" outlineLevel="0" collapsed="false">
      <c r="A6" s="3" t="n">
        <v>2</v>
      </c>
      <c r="B6" s="6" t="s">
        <v>148</v>
      </c>
      <c r="C6" s="6" t="s">
        <v>149</v>
      </c>
      <c r="D6" s="6" t="s">
        <v>150</v>
      </c>
      <c r="E6" s="6" t="s">
        <v>146</v>
      </c>
      <c r="F6" s="34" t="s">
        <v>147</v>
      </c>
      <c r="G6" s="35"/>
    </row>
    <row r="7" customFormat="false" ht="42" hidden="false" customHeight="true" outlineLevel="0" collapsed="false">
      <c r="A7" s="3" t="n">
        <v>3</v>
      </c>
      <c r="B7" s="6" t="s">
        <v>151</v>
      </c>
      <c r="C7" s="6" t="s">
        <v>152</v>
      </c>
      <c r="D7" s="6" t="s">
        <v>153</v>
      </c>
      <c r="E7" s="6" t="s">
        <v>146</v>
      </c>
      <c r="F7" s="34" t="s">
        <v>147</v>
      </c>
      <c r="G7" s="35"/>
    </row>
    <row r="8" customFormat="false" ht="42" hidden="false" customHeight="true" outlineLevel="0" collapsed="false">
      <c r="A8" s="3" t="n">
        <v>4</v>
      </c>
      <c r="B8" s="6" t="s">
        <v>154</v>
      </c>
      <c r="C8" s="6" t="s">
        <v>155</v>
      </c>
      <c r="D8" s="6" t="s">
        <v>156</v>
      </c>
      <c r="E8" s="6" t="s">
        <v>146</v>
      </c>
      <c r="F8" s="34" t="s">
        <v>147</v>
      </c>
      <c r="G8" s="35"/>
    </row>
    <row r="9" customFormat="false" ht="42" hidden="false" customHeight="true" outlineLevel="0" collapsed="false">
      <c r="A9" s="3" t="n">
        <v>5</v>
      </c>
      <c r="B9" s="6" t="s">
        <v>157</v>
      </c>
      <c r="C9" s="6" t="s">
        <v>158</v>
      </c>
      <c r="D9" s="6" t="s">
        <v>159</v>
      </c>
      <c r="E9" s="6" t="s">
        <v>160</v>
      </c>
      <c r="F9" s="34" t="s">
        <v>161</v>
      </c>
      <c r="G9" s="35"/>
    </row>
    <row r="10" customFormat="false" ht="42" hidden="false" customHeight="true" outlineLevel="0" collapsed="false">
      <c r="A10" s="3" t="n">
        <v>6</v>
      </c>
      <c r="B10" s="6" t="s">
        <v>162</v>
      </c>
      <c r="C10" s="6" t="s">
        <v>163</v>
      </c>
      <c r="D10" s="6" t="s">
        <v>164</v>
      </c>
      <c r="E10" s="6" t="s">
        <v>160</v>
      </c>
      <c r="F10" s="34" t="s">
        <v>165</v>
      </c>
      <c r="G10" s="35"/>
    </row>
    <row r="12" customFormat="false" ht="15" hidden="false" customHeight="false" outlineLevel="0" collapsed="false">
      <c r="B12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2026-09-15T13:18:50Z</dcterms:created>
  <dc:creator>openpyxl</dc:creator>
  <dc:description/>
  <dc:language>pt-BR</dc:language>
  <cp:lastModifiedBy/>
  <dcterms:modified xsi:type="dcterms:W3CDTF">2026-09-15T13:18:50Z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